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ev\Canotila\cassandra\test\"/>
    </mc:Choice>
  </mc:AlternateContent>
  <xr:revisionPtr revIDLastSave="0" documentId="13_ncr:1_{CBEA4B34-11E2-4934-B25E-B1CAD7CAAC8B}" xr6:coauthVersionLast="47" xr6:coauthVersionMax="47" xr10:uidLastSave="{00000000-0000-0000-0000-000000000000}"/>
  <bookViews>
    <workbookView xWindow="-108" yWindow="492" windowWidth="23256" windowHeight="12576" tabRatio="500" activeTab="1" xr2:uid="{E4DFBD21-0470-47FE-BF18-F06B199471F7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1" i="2"/>
</calcChain>
</file>

<file path=xl/sharedStrings.xml><?xml version="1.0" encoding="utf-8"?>
<sst xmlns="http://schemas.openxmlformats.org/spreadsheetml/2006/main" count="460" uniqueCount="321">
  <si>
    <t>S10</t>
  </si>
  <si>
    <t>Página :</t>
  </si>
  <si>
    <t>Precios y cantidades de recursos requeridos por tipo</t>
  </si>
  <si>
    <t>Obra</t>
  </si>
  <si>
    <t>0201025</t>
  </si>
  <si>
    <t>MEJORAMIENTO DE LA TRANSITABILIDAD VEHICULAR Y PEATONAL DE LAS CALLES PROLONGACION ALFONSO UGARTE,BAYOBAR,TUPAC AMARU, PASAJE ELIAS AGUIRRE, PRIMERO DE MAYO Y LOS PARQUES DEL SECTOR VICTORIA VIUDA DE DALLORSO, PIMENTEL - CHICLAYO - LAMBAYEQUE</t>
  </si>
  <si>
    <t>Subpresupuesto</t>
  </si>
  <si>
    <t>001</t>
  </si>
  <si>
    <t>Fecha</t>
  </si>
  <si>
    <t>19/12/2023</t>
  </si>
  <si>
    <t>Lugar</t>
  </si>
  <si>
    <t>140112</t>
  </si>
  <si>
    <t>LAMBAYEQUE - CHICLAYO - PIMENTEL</t>
  </si>
  <si>
    <t>Código</t>
  </si>
  <si>
    <t>Recurso</t>
  </si>
  <si>
    <t>Unidad</t>
  </si>
  <si>
    <t>Cantidad</t>
  </si>
  <si>
    <t>Precio S/</t>
  </si>
  <si>
    <t>Parcial S/</t>
  </si>
  <si>
    <t>MANO DE OBRA</t>
  </si>
  <si>
    <t>0101010003</t>
  </si>
  <si>
    <t>OPERARIO</t>
  </si>
  <si>
    <t>hh</t>
  </si>
  <si>
    <t>0101010004</t>
  </si>
  <si>
    <t>OFICIAL</t>
  </si>
  <si>
    <t>0101010005</t>
  </si>
  <si>
    <t>PEON</t>
  </si>
  <si>
    <t>MATERIALES</t>
  </si>
  <si>
    <t>0201010052</t>
  </si>
  <si>
    <t>RADIO 02 VIAS</t>
  </si>
  <si>
    <t>und</t>
  </si>
  <si>
    <t>0201010053</t>
  </si>
  <si>
    <t>PLANCHA METALICA DE 1/32"</t>
  </si>
  <si>
    <t>pln</t>
  </si>
  <si>
    <t>0201020015</t>
  </si>
  <si>
    <t>GRAS NATURAL</t>
  </si>
  <si>
    <t>m2</t>
  </si>
  <si>
    <t>02010500010001</t>
  </si>
  <si>
    <t>ASFALTO RC-250</t>
  </si>
  <si>
    <t>gal</t>
  </si>
  <si>
    <t>02010500010003</t>
  </si>
  <si>
    <t>ASFALTO LIQUIDO MC-30</t>
  </si>
  <si>
    <t>0201050002</t>
  </si>
  <si>
    <t>EMULSION ASFALTICA</t>
  </si>
  <si>
    <t>0201050007</t>
  </si>
  <si>
    <t>MEZCLA ASFALTICA EN CALIENTE</t>
  </si>
  <si>
    <t>m3</t>
  </si>
  <si>
    <t>0203020002</t>
  </si>
  <si>
    <t>FLETE TERRESTRE</t>
  </si>
  <si>
    <t>glb</t>
  </si>
  <si>
    <t>02040100010001</t>
  </si>
  <si>
    <t>ALAMBRE NEGRO RECOCIDO N° 8</t>
  </si>
  <si>
    <t>kg</t>
  </si>
  <si>
    <t>02040100010002</t>
  </si>
  <si>
    <t>ALAMBRE NEGRO RECOCIDO N° 16</t>
  </si>
  <si>
    <t>0204030001</t>
  </si>
  <si>
    <t>ACERO CORRUGADO fy = 4200 kg/cm2 GRADO 60</t>
  </si>
  <si>
    <t>02041200010004</t>
  </si>
  <si>
    <t>CLAVOS PARA MADERA CON CABEZA DE 2 1/2"</t>
  </si>
  <si>
    <t>0204180010</t>
  </si>
  <si>
    <t>PLANCHA DE FIERRO GALVANIZADO DE 3/8"</t>
  </si>
  <si>
    <t>02070100010002</t>
  </si>
  <si>
    <t>PIEDRA CHANCADA 1/2"</t>
  </si>
  <si>
    <t>0207010006</t>
  </si>
  <si>
    <t>PIEDRA GRANDE DE 8"</t>
  </si>
  <si>
    <t>0207020001</t>
  </si>
  <si>
    <t>ARENA</t>
  </si>
  <si>
    <t>02070200010001</t>
  </si>
  <si>
    <t>ARENA FINA</t>
  </si>
  <si>
    <t>02070200010002</t>
  </si>
  <si>
    <t>ARENA GRUESA</t>
  </si>
  <si>
    <t>0207030002</t>
  </si>
  <si>
    <t>HORMIGON (PUESTO EN OBRA)</t>
  </si>
  <si>
    <t>0207050004</t>
  </si>
  <si>
    <t>TIERRA DE CHACRA O VEGETAL</t>
  </si>
  <si>
    <t>0210030022</t>
  </si>
  <si>
    <t>MALLA DE SEGURIDAD PLASTICA  ANARANJADA x 50m</t>
  </si>
  <si>
    <t>rll</t>
  </si>
  <si>
    <t>0210040014</t>
  </si>
  <si>
    <t>TECNOPOR DE 2.40 x 1.20 x 1"</t>
  </si>
  <si>
    <t>0213010007</t>
  </si>
  <si>
    <t>CEMENTO PORTLAND TIPO MS</t>
  </si>
  <si>
    <t>bol</t>
  </si>
  <si>
    <t>0213030014</t>
  </si>
  <si>
    <t>YESO DE 12 KG</t>
  </si>
  <si>
    <t>0216060006</t>
  </si>
  <si>
    <t>ADOQUIN DE CONCRETO COLOR ROJO DE 0.10X0.20X0.06 m.</t>
  </si>
  <si>
    <t>0216060007</t>
  </si>
  <si>
    <t>ADOQUIN DE CONCRETO COLOR GRIS DE 0.10X0.20X0.06 m.</t>
  </si>
  <si>
    <t>0219010025</t>
  </si>
  <si>
    <t>CACHACOS DE CONCRETO H=1.20</t>
  </si>
  <si>
    <t>0219010026</t>
  </si>
  <si>
    <t>CACHACOS DE CONCRETO H=2.20</t>
  </si>
  <si>
    <t>0219040002</t>
  </si>
  <si>
    <t>AFIRMADO</t>
  </si>
  <si>
    <t>0219150005</t>
  </si>
  <si>
    <t>CAJA PRE FABRICADA DE 0.30m x0.30m x0.30m INC. CUERPO Y TAPA</t>
  </si>
  <si>
    <t>0222160012</t>
  </si>
  <si>
    <t>SELLADOR DE MADERA</t>
  </si>
  <si>
    <t>0222180001</t>
  </si>
  <si>
    <t>ADITIVO CURADOR</t>
  </si>
  <si>
    <t>0231010001</t>
  </si>
  <si>
    <t>MADERA TORNILLO</t>
  </si>
  <si>
    <t>p2</t>
  </si>
  <si>
    <t>0231010010</t>
  </si>
  <si>
    <t>MADERA TORNILLO 1"</t>
  </si>
  <si>
    <t>m</t>
  </si>
  <si>
    <t>0231220022</t>
  </si>
  <si>
    <t>PANELES DE INFORMACION, ORIENTACION Y PREVENCION</t>
  </si>
  <si>
    <t>02380100020003</t>
  </si>
  <si>
    <t>LIJA DE FIERRO #80</t>
  </si>
  <si>
    <t>plg</t>
  </si>
  <si>
    <t>0240020001</t>
  </si>
  <si>
    <t>PINTURA ESMALTE</t>
  </si>
  <si>
    <t>0240020026</t>
  </si>
  <si>
    <t>PINTURA ESMALTE SINTETICO</t>
  </si>
  <si>
    <t>0240020031</t>
  </si>
  <si>
    <t>PINTURA ESMALTE PARA TRAFICO</t>
  </si>
  <si>
    <t>0240070001</t>
  </si>
  <si>
    <t>PINTURA ANTICORROSIVA</t>
  </si>
  <si>
    <t>0240080029</t>
  </si>
  <si>
    <t>THINNER CORRIENTE</t>
  </si>
  <si>
    <t>0240160001</t>
  </si>
  <si>
    <t>BARNIZ MARINO</t>
  </si>
  <si>
    <t>0241050008</t>
  </si>
  <si>
    <t>CINTA SEÑALIZADORA AMARILLA L=200M</t>
  </si>
  <si>
    <t>0241060004</t>
  </si>
  <si>
    <t>CILINDRO DE PLASTICO PARA ARENA</t>
  </si>
  <si>
    <t>0245020007</t>
  </si>
  <si>
    <t>BARRENO HEXAGONAL 1 1/8"</t>
  </si>
  <si>
    <t>0246110005</t>
  </si>
  <si>
    <t>BASURERO DE FIBRA DE VIDRIO</t>
  </si>
  <si>
    <t>0246110047</t>
  </si>
  <si>
    <t>CONTENEDORES PLÁSTICOS 178lt (mín.)</t>
  </si>
  <si>
    <t>0246110074</t>
  </si>
  <si>
    <t>CROTON ROJO</t>
  </si>
  <si>
    <t>0246110075</t>
  </si>
  <si>
    <t>CROTON AMARILLO</t>
  </si>
  <si>
    <t>0246110076</t>
  </si>
  <si>
    <t>PONCIANA</t>
  </si>
  <si>
    <t>0246110077</t>
  </si>
  <si>
    <t>CONTENEDORES PLASTICO 54lt (min)</t>
  </si>
  <si>
    <t>0247010003</t>
  </si>
  <si>
    <t>OVER</t>
  </si>
  <si>
    <t>0248010002</t>
  </si>
  <si>
    <t>AGUA</t>
  </si>
  <si>
    <t>0262160005</t>
  </si>
  <si>
    <t>JACARANDA</t>
  </si>
  <si>
    <t>02630200010011</t>
  </si>
  <si>
    <t>POSTE DE C.A.C 9.00/ 200/120/255</t>
  </si>
  <si>
    <t>0263040002</t>
  </si>
  <si>
    <t>POSTE PARA SEÑAL PREVENTIVA DE TUBO DE FIERRO GALVANIZADO 2"X3.20M</t>
  </si>
  <si>
    <t>0265060004</t>
  </si>
  <si>
    <t>TUBO DE FIERRO GALVANIZADO 3"</t>
  </si>
  <si>
    <t>0265060005</t>
  </si>
  <si>
    <t>TUBO DE FIERRO GALVANIZADO 1 1/2"</t>
  </si>
  <si>
    <t>0267010010</t>
  </si>
  <si>
    <t>CASCO PARA INGENIEROS Y TRABAJADORES</t>
  </si>
  <si>
    <t>0267020001</t>
  </si>
  <si>
    <t>LENTES DE POLICARBONA LUNA CLARA</t>
  </si>
  <si>
    <t>0267030008</t>
  </si>
  <si>
    <t>PROTECTOR DE OIDOS TIPO TAPON</t>
  </si>
  <si>
    <t>02670500010001</t>
  </si>
  <si>
    <t>GUANTES DE CUERO AMARILLO 9 1/2" FLEXIBLE</t>
  </si>
  <si>
    <t>par</t>
  </si>
  <si>
    <t>0267050006</t>
  </si>
  <si>
    <t>GUANTES DE JEBE</t>
  </si>
  <si>
    <t>02670600060005</t>
  </si>
  <si>
    <t>PANTALON DRILL AZUL</t>
  </si>
  <si>
    <t>0267060018</t>
  </si>
  <si>
    <t>CHALECO REFLECTIVO</t>
  </si>
  <si>
    <t>0267060024</t>
  </si>
  <si>
    <t>POLO MANGA LARGA</t>
  </si>
  <si>
    <t>02670700010003</t>
  </si>
  <si>
    <t>BOTINES DE CUERO CON PUNTA DE ACERO #40</t>
  </si>
  <si>
    <t>0267100001</t>
  </si>
  <si>
    <t>EXTINTOR DE POLVO QUIMICO SECO (PQS)</t>
  </si>
  <si>
    <t>0267100035</t>
  </si>
  <si>
    <t>BOTIQUIN (equipado segun lista de materiales)</t>
  </si>
  <si>
    <t>0267100037</t>
  </si>
  <si>
    <t>CAMILLA RIGIDA DE EMERGENCIA</t>
  </si>
  <si>
    <t>0267110002</t>
  </si>
  <si>
    <t>CONO DE SEÑALIZACION NARANJA  DE 28" DE ALTURA</t>
  </si>
  <si>
    <t>0267110004</t>
  </si>
  <si>
    <t>SEÑALES DE OBLIGACION, PREVENCION, PROHIBICION E INFORMACION SURTIDA</t>
  </si>
  <si>
    <t>02671100140003</t>
  </si>
  <si>
    <t>TRANQUERA DE MADERA DE 2.40 X 1.20 m</t>
  </si>
  <si>
    <t>0267110043</t>
  </si>
  <si>
    <t>SEÑALIZACIÓN PREVENTIVA</t>
  </si>
  <si>
    <t>0267110045</t>
  </si>
  <si>
    <t>SEÑALIZACIÓN INFORMATIVA</t>
  </si>
  <si>
    <t>0267110068</t>
  </si>
  <si>
    <t>PALETAS DE SEGURIDAD PARE Y SIGA</t>
  </si>
  <si>
    <t>0267110072</t>
  </si>
  <si>
    <t>SEÑALIZACION REGLAMENTARIA</t>
  </si>
  <si>
    <t>0267120010</t>
  </si>
  <si>
    <t>AVISO VISIBLE DE CUMPLIMIENTOS</t>
  </si>
  <si>
    <t>0268230003</t>
  </si>
  <si>
    <t>CAJA PRE FABRICADA DE 0.60m x0.30m INC. CUERPO Y TAPA</t>
  </si>
  <si>
    <t>0270010092</t>
  </si>
  <si>
    <t>CABLE VULCANIZADO 2 X 12</t>
  </si>
  <si>
    <t>02720400290001</t>
  </si>
  <si>
    <t>KIT EMPALME MEDIA TENSION</t>
  </si>
  <si>
    <t>0276010028</t>
  </si>
  <si>
    <t>GIGANTOGRAFIA DE 3.60X4.80M</t>
  </si>
  <si>
    <t>0276020091</t>
  </si>
  <si>
    <t>DISCO DE CORTE DE ASFALTO DE 16"</t>
  </si>
  <si>
    <t>0276020092</t>
  </si>
  <si>
    <t>DISCO DE CORTE DE ACERO</t>
  </si>
  <si>
    <t>02901300050002</t>
  </si>
  <si>
    <t>ESCOBAS DE PAJA</t>
  </si>
  <si>
    <t>0290150030</t>
  </si>
  <si>
    <t>UTILES DE ESCRITORIO Y/O DIVERSOS</t>
  </si>
  <si>
    <t>0291020003</t>
  </si>
  <si>
    <t>FICUS</t>
  </si>
  <si>
    <t>0292010020</t>
  </si>
  <si>
    <t>MATERIAL DIDACTICO PARA CAPACITACIONES</t>
  </si>
  <si>
    <t>0292010071</t>
  </si>
  <si>
    <t>RESPIRADOR PARA PARTICULAS Y POLVO</t>
  </si>
  <si>
    <t>0292010074</t>
  </si>
  <si>
    <t>ELABORACION, IMPLEMENTACION Y ADMINISTRACION DEL PLAN DE SEGURIDAD</t>
  </si>
  <si>
    <t>EQUIPOS</t>
  </si>
  <si>
    <t>0301000058</t>
  </si>
  <si>
    <t>NIVEL TOPOGRAFICO CON TRIPODE</t>
  </si>
  <si>
    <t>he</t>
  </si>
  <si>
    <t>0301000059</t>
  </si>
  <si>
    <t>EQUIPO TOGRAFICO (ESTACION TOTAL)</t>
  </si>
  <si>
    <t>hm</t>
  </si>
  <si>
    <t>0301010006</t>
  </si>
  <si>
    <t>HERRAMIENTAS MANUALES</t>
  </si>
  <si>
    <t>%mo</t>
  </si>
  <si>
    <t>0301010043</t>
  </si>
  <si>
    <t>%MO</t>
  </si>
  <si>
    <t>0301100019</t>
  </si>
  <si>
    <t>RODILLO TANDEM ESTATICO AUTOPROPULSADO 58-70HP 8-10ton</t>
  </si>
  <si>
    <t>0301100020</t>
  </si>
  <si>
    <t>COMPACTADORA VIBRATORIA TIPO PLANCHA 4 HP</t>
  </si>
  <si>
    <t>0301100036</t>
  </si>
  <si>
    <t>RODILLO LISO VIBRATORIO AUTOPROPULSADO 101 - 135 HP 10 - 12 TN</t>
  </si>
  <si>
    <t>0301100037</t>
  </si>
  <si>
    <t>RODILLO NEUMATICO AUTOPROPULSADO 127HP 8-23 ton</t>
  </si>
  <si>
    <t>0301110002</t>
  </si>
  <si>
    <t>CORTADORA DE ASFALTO 12" A 18" 13HP</t>
  </si>
  <si>
    <t>0301120006</t>
  </si>
  <si>
    <t>MAQUINA PARA PINTAR MARCAS EN EL PAVIMENTO</t>
  </si>
  <si>
    <t>03011400060002</t>
  </si>
  <si>
    <t>COMPRESORA NEUMATICA 125-175 PCM,  76 HP</t>
  </si>
  <si>
    <t>0301140009</t>
  </si>
  <si>
    <t>MARTILLO ELECTRICO 22,00W, 29KG</t>
  </si>
  <si>
    <t>0301140012</t>
  </si>
  <si>
    <t>TRONZADORA 14" 2.300W</t>
  </si>
  <si>
    <t>0301140028</t>
  </si>
  <si>
    <t>MARTILLO NEUMATICO DE 24kg</t>
  </si>
  <si>
    <t>03011600010003</t>
  </si>
  <si>
    <t>CARGADOR SOBRE LLANTAS DE 125-135 HP 3 yd3</t>
  </si>
  <si>
    <t>0301160008</t>
  </si>
  <si>
    <t>CARGADOR S/LLANTAS 125 HP 2.5 YD3.</t>
  </si>
  <si>
    <t>0301160022</t>
  </si>
  <si>
    <t>MINICARGADOR 70 hp</t>
  </si>
  <si>
    <t>03011700010001</t>
  </si>
  <si>
    <t>EXCAVADORA SOBRE ORUGAS 115-165 HP</t>
  </si>
  <si>
    <t>0301200002</t>
  </si>
  <si>
    <t>MOTONIVELADORA 125 HP</t>
  </si>
  <si>
    <t>0301200004</t>
  </si>
  <si>
    <t>MOTONIVELADORA DE 125 HP</t>
  </si>
  <si>
    <t>03012100010003</t>
  </si>
  <si>
    <t>GRUA HIDRAULICA MOVIL (ALQUILER TERCEROS)</t>
  </si>
  <si>
    <t>03012200040001</t>
  </si>
  <si>
    <t>CAMION VOLQUETE DE 15 m3</t>
  </si>
  <si>
    <t>0301220005</t>
  </si>
  <si>
    <t>CAMION CISTERNA</t>
  </si>
  <si>
    <t>03012200080002</t>
  </si>
  <si>
    <t>CAMION IMPRIMADOR 6X2 178-210 HP 1,800 gl</t>
  </si>
  <si>
    <t>0301220014</t>
  </si>
  <si>
    <t>CAMION VOLQUETE 15 M3.</t>
  </si>
  <si>
    <t>0301250006</t>
  </si>
  <si>
    <t>GRUPO ELECTROGENO DE 38HP 20KW</t>
  </si>
  <si>
    <t>0301290006</t>
  </si>
  <si>
    <t>VIBRADOR DE CONCRETO 4 HP  2.40"</t>
  </si>
  <si>
    <t>0301290008</t>
  </si>
  <si>
    <t>MEZCLADORA DE CONCRETO DE 9 - 11P3</t>
  </si>
  <si>
    <t>03013600010001</t>
  </si>
  <si>
    <t>MOCHILA AGRICOLA</t>
  </si>
  <si>
    <t>03013900050001</t>
  </si>
  <si>
    <t>BARREDORA MECANICA 10-20 HP 7P .LONG.</t>
  </si>
  <si>
    <t>0301390016</t>
  </si>
  <si>
    <t>PAVIMENTADORA DE 65 HP</t>
  </si>
  <si>
    <t>SUBCONTRATOS</t>
  </si>
  <si>
    <t>0400010028</t>
  </si>
  <si>
    <t>SC SUMINISTRO E INSTALACION DE PASAMANOS</t>
  </si>
  <si>
    <t>0400010029</t>
  </si>
  <si>
    <t>SC SUMINISTRO E INSTALACION DE BARRAS PARALELAS</t>
  </si>
  <si>
    <t>0400010030</t>
  </si>
  <si>
    <t>SC SUMINISTRO E INSTALACION DE RELAJADOR DE CINTURA</t>
  </si>
  <si>
    <t>0409080009</t>
  </si>
  <si>
    <t>SC TRANSPORTE DE MEZCLA ASFALTICA</t>
  </si>
  <si>
    <t>0410010021</t>
  </si>
  <si>
    <t>SC ALQUILER DE SERVICIOS HIGIENICOS (4 S.H.)</t>
  </si>
  <si>
    <t>mes</t>
  </si>
  <si>
    <t>0410010024</t>
  </si>
  <si>
    <t>SC ELABORACION DEL PLAN DE MITIGACION DE IMPACTOS AMBIENTALES</t>
  </si>
  <si>
    <t>0410010026</t>
  </si>
  <si>
    <t>SC ALQUILER DE OFICINA</t>
  </si>
  <si>
    <t>0410010037</t>
  </si>
  <si>
    <t>SC MOVILIZACION Y DESMOVILIZACION DE MAQUINARIAS, EQUIPOS Y HERRAMIENTAS</t>
  </si>
  <si>
    <t>0410010038</t>
  </si>
  <si>
    <t>SC ALQUILER DE GRUPO ELECTROGENO Y SERVICIO DE VIGILANCIA</t>
  </si>
  <si>
    <t>0413010009</t>
  </si>
  <si>
    <t>SC DE LOCAL PARA ALMACEN</t>
  </si>
  <si>
    <t>0423040006</t>
  </si>
  <si>
    <t>SC MONITOREO DE LA CALIDAD DEL AIRE</t>
  </si>
  <si>
    <t>pto</t>
  </si>
  <si>
    <t>0423040007</t>
  </si>
  <si>
    <t>SC MONITOREO DEL RUIDO</t>
  </si>
  <si>
    <t>0423050003</t>
  </si>
  <si>
    <t>SC CAPACITACION EN SEGURIDAD Y SALUD</t>
  </si>
  <si>
    <t>0423210003</t>
  </si>
  <si>
    <t>PLAN DE MONITOREO ARQUEOLOGICO</t>
  </si>
  <si>
    <t>Total</t>
  </si>
  <si>
    <t>S/</t>
  </si>
  <si>
    <t xml:space="preserve">Fecha 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</si>
</sst>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dd/mm/yyyy&quot;  &quot;hh\:mm\:ss\ AM/PM"/>
  </numFmts>
  <fonts count="10" x14ac:knownFonts="1">
    <font>
      <sz val="10"/>
      <color indexed="8"/>
      <name val="ARIAL"/>
      <charset val="1"/>
    </font>
    <font>
      <sz val="5.4"/>
      <color indexed="8"/>
      <name val="Arial"/>
      <charset val="1"/>
    </font>
    <font>
      <sz val="6.3"/>
      <color indexed="8"/>
      <name val="Arial"/>
      <charset val="1"/>
    </font>
    <font>
      <b/>
      <sz val="7"/>
      <color indexed="8"/>
      <name val="ARIAL"/>
      <charset val="1"/>
    </font>
    <font>
      <b/>
      <sz val="11"/>
      <color indexed="8"/>
      <name val="ARIAL"/>
      <charset val="1"/>
    </font>
    <font>
      <sz val="8"/>
      <color indexed="8"/>
      <name val="Arial Narrow"/>
      <charset val="1"/>
    </font>
    <font>
      <b/>
      <sz val="8"/>
      <color indexed="8"/>
      <name val="Arial Narrow"/>
      <charset val="1"/>
    </font>
    <font>
      <b/>
      <sz val="7.15"/>
      <color indexed="8"/>
      <name val="Arial"/>
      <charset val="1"/>
    </font>
    <font>
      <sz val="8"/>
      <color indexed="8"/>
      <name val="ARIAL"/>
      <charset val="1"/>
    </font>
    <font>
      <sz val="7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top"/>
    </xf>
  </cellStyleXfs>
  <cellXfs count="24">
    <xf numFmtId="0" fontId="0" fillId="0" borderId="0" xfId="0">
      <alignment vertical="top"/>
    </xf>
    <xf numFmtId="0" fontId="1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right" vertical="top" wrapText="1" readingOrder="1"/>
    </xf>
    <xf numFmtId="3" fontId="3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 wrapText="1" readingOrder="1"/>
    </xf>
    <xf numFmtId="0" fontId="6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164" fontId="5" fillId="0" borderId="0" xfId="0" applyNumberFormat="1" applyFont="1" applyAlignment="1">
      <alignment horizontal="right" vertical="top"/>
    </xf>
    <xf numFmtId="4" fontId="5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left" vertical="top" wrapText="1" readingOrder="1"/>
    </xf>
    <xf numFmtId="0" fontId="7" fillId="0" borderId="0" xfId="0" applyFont="1" applyAlignment="1">
      <alignment horizontal="right" vertical="top" wrapText="1" readingOrder="1"/>
    </xf>
    <xf numFmtId="0" fontId="3" fillId="0" borderId="0" xfId="0" applyFont="1" applyAlignment="1">
      <alignment horizontal="right" vertical="top"/>
    </xf>
    <xf numFmtId="4" fontId="6" fillId="0" borderId="1" xfId="0" applyNumberFormat="1" applyFont="1" applyBorder="1" applyAlignment="1">
      <alignment horizontal="right" vertical="top"/>
    </xf>
    <xf numFmtId="0" fontId="6" fillId="0" borderId="0" xfId="0" applyFont="1" applyAlignment="1">
      <alignment horizontal="right" vertical="top" wrapText="1" readingOrder="1"/>
    </xf>
    <xf numFmtId="0" fontId="6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3215F-187B-435B-9CBA-17D7FD92E08E}">
  <sheetPr>
    <outlinePr summaryBelow="0" summaryRight="0"/>
    <pageSetUpPr autoPageBreaks="0"/>
  </sheetPr>
  <dimension ref="B1:X199"/>
  <sheetViews>
    <sheetView showGridLines="0" showOutlineSymbols="0" workbookViewId="0">
      <selection activeCell="K1" sqref="K1:K1048576"/>
    </sheetView>
  </sheetViews>
  <sheetFormatPr defaultRowHeight="12.75" customHeight="1" x14ac:dyDescent="0.25"/>
  <cols>
    <col min="1" max="1" width="5.6640625" customWidth="1"/>
    <col min="2" max="2" width="4.5546875" customWidth="1"/>
    <col min="3" max="3" width="4.44140625" customWidth="1"/>
    <col min="4" max="4" width="1.33203125" customWidth="1"/>
    <col min="5" max="5" width="2" customWidth="1"/>
    <col min="6" max="6" width="1.33203125" customWidth="1"/>
    <col min="7" max="7" width="9" customWidth="1"/>
    <col min="8" max="8" width="1.44140625" customWidth="1"/>
    <col min="9" max="9" width="25" customWidth="1"/>
    <col min="10" max="10" width="1" customWidth="1"/>
    <col min="11" max="11" width="5.6640625" customWidth="1"/>
    <col min="12" max="12" width="2.33203125" customWidth="1"/>
    <col min="13" max="13" width="3" customWidth="1"/>
    <col min="14" max="14" width="1.109375" customWidth="1"/>
    <col min="15" max="15" width="6" customWidth="1"/>
    <col min="16" max="16" width="1.5546875" customWidth="1"/>
    <col min="17" max="17" width="2.44140625" customWidth="1"/>
    <col min="18" max="18" width="2.33203125" customWidth="1"/>
    <col min="19" max="19" width="1.33203125" customWidth="1"/>
    <col min="20" max="20" width="2.5546875" customWidth="1"/>
    <col min="21" max="21" width="1.33203125" customWidth="1"/>
    <col min="22" max="22" width="1.109375" customWidth="1"/>
    <col min="23" max="23" width="6.109375" customWidth="1"/>
    <col min="24" max="24" width="4.44140625" customWidth="1"/>
    <col min="25" max="256" width="6.88671875" customWidth="1"/>
  </cols>
  <sheetData>
    <row r="1" spans="2:24" ht="10.5" customHeight="1" x14ac:dyDescent="0.25">
      <c r="B1" s="1" t="s">
        <v>0</v>
      </c>
      <c r="W1" s="2" t="s">
        <v>1</v>
      </c>
      <c r="X1" s="3">
        <v>1</v>
      </c>
    </row>
    <row r="2" spans="2:24" ht="14.25" customHeight="1" x14ac:dyDescent="0.25"/>
    <row r="3" spans="2:24" ht="6" customHeight="1" x14ac:dyDescent="0.25"/>
    <row r="4" spans="2:24" ht="14.25" customHeight="1" x14ac:dyDescent="0.25">
      <c r="B4" s="7" t="s">
        <v>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2:24" ht="5.25" customHeight="1" x14ac:dyDescent="0.25"/>
    <row r="6" spans="2:24" ht="10.5" customHeight="1" x14ac:dyDescent="0.25">
      <c r="B6" s="8" t="s">
        <v>3</v>
      </c>
      <c r="C6" s="8"/>
      <c r="D6" s="8"/>
      <c r="E6" s="8"/>
      <c r="G6" s="4" t="s">
        <v>4</v>
      </c>
      <c r="I6" s="9" t="s">
        <v>5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2:24" ht="10.5" customHeight="1" x14ac:dyDescent="0.25"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2:24" ht="10.5" customHeight="1" x14ac:dyDescent="0.25"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2:24" ht="10.5" customHeight="1" x14ac:dyDescent="0.25"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2:24" ht="10.5" customHeight="1" x14ac:dyDescent="0.25"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2:24" ht="10.5" customHeight="1" x14ac:dyDescent="0.25">
      <c r="B11" s="10" t="s">
        <v>6</v>
      </c>
      <c r="C11" s="10"/>
      <c r="D11" s="10"/>
      <c r="E11" s="10"/>
      <c r="G11" s="4" t="s">
        <v>7</v>
      </c>
      <c r="I11" s="11" t="s">
        <v>5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2:24" ht="13.2" x14ac:dyDescent="0.25">
      <c r="B12" s="8" t="s">
        <v>8</v>
      </c>
      <c r="C12" s="8"/>
      <c r="D12" s="8"/>
      <c r="E12" s="8"/>
      <c r="G12" s="4" t="s">
        <v>9</v>
      </c>
    </row>
    <row r="13" spans="2:24" ht="11.25" customHeight="1" x14ac:dyDescent="0.25">
      <c r="B13" s="8" t="s">
        <v>10</v>
      </c>
      <c r="C13" s="8"/>
      <c r="D13" s="8"/>
      <c r="E13" s="8"/>
      <c r="G13" s="4" t="s">
        <v>11</v>
      </c>
      <c r="I13" s="11" t="s">
        <v>12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2:24" ht="13.5" customHeight="1" x14ac:dyDescent="0.25">
      <c r="B14" s="16" t="s">
        <v>13</v>
      </c>
      <c r="C14" s="16"/>
      <c r="E14" s="16" t="s">
        <v>14</v>
      </c>
      <c r="F14" s="16"/>
      <c r="G14" s="16"/>
      <c r="H14" s="16"/>
      <c r="I14" s="16"/>
      <c r="K14" s="6" t="s">
        <v>15</v>
      </c>
      <c r="L14" s="17" t="s">
        <v>16</v>
      </c>
      <c r="M14" s="17"/>
      <c r="N14" s="17"/>
      <c r="O14" s="17"/>
      <c r="Q14" s="18" t="s">
        <v>17</v>
      </c>
      <c r="R14" s="18"/>
      <c r="S14" s="18"/>
      <c r="T14" s="18"/>
      <c r="U14" s="18"/>
      <c r="W14" s="18" t="s">
        <v>18</v>
      </c>
      <c r="X14" s="18"/>
    </row>
    <row r="15" spans="2:24" ht="5.25" customHeight="1" x14ac:dyDescent="0.25"/>
    <row r="16" spans="2:24" ht="13.2" x14ac:dyDescent="0.25">
      <c r="B16" s="12" t="s">
        <v>19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2:24" ht="0.75" customHeight="1" x14ac:dyDescent="0.25"/>
    <row r="18" spans="2:24" ht="10.5" customHeight="1" x14ac:dyDescent="0.25">
      <c r="B18" s="10" t="s">
        <v>20</v>
      </c>
      <c r="C18" s="10"/>
      <c r="D18" s="10"/>
      <c r="E18" s="13" t="s">
        <v>21</v>
      </c>
      <c r="F18" s="13"/>
      <c r="G18" s="13"/>
      <c r="H18" s="13"/>
      <c r="I18" s="13"/>
      <c r="K18" s="5" t="s">
        <v>22</v>
      </c>
      <c r="M18" s="14">
        <v>3105.0479</v>
      </c>
      <c r="N18" s="14"/>
      <c r="O18" s="14"/>
      <c r="Q18" s="15">
        <v>27.490000000000002</v>
      </c>
      <c r="R18" s="15"/>
      <c r="S18" s="15"/>
      <c r="T18" s="15"/>
      <c r="U18" s="15"/>
      <c r="W18" s="15">
        <v>85357.77</v>
      </c>
      <c r="X18" s="15"/>
    </row>
    <row r="19" spans="2:24" ht="10.5" customHeight="1" x14ac:dyDescent="0.25">
      <c r="B19" s="10" t="s">
        <v>23</v>
      </c>
      <c r="C19" s="10"/>
      <c r="D19" s="10"/>
      <c r="E19" s="13" t="s">
        <v>24</v>
      </c>
      <c r="F19" s="13"/>
      <c r="G19" s="13"/>
      <c r="H19" s="13"/>
      <c r="I19" s="13"/>
      <c r="K19" s="5" t="s">
        <v>22</v>
      </c>
      <c r="M19" s="14">
        <v>2710.4853000000003</v>
      </c>
      <c r="N19" s="14"/>
      <c r="O19" s="14"/>
      <c r="Q19" s="15">
        <v>21.62</v>
      </c>
      <c r="R19" s="15"/>
      <c r="S19" s="15"/>
      <c r="T19" s="15"/>
      <c r="U19" s="15"/>
      <c r="W19" s="15">
        <v>58600.69</v>
      </c>
      <c r="X19" s="15"/>
    </row>
    <row r="20" spans="2:24" ht="9.75" customHeight="1" x14ac:dyDescent="0.25">
      <c r="B20" s="10" t="s">
        <v>25</v>
      </c>
      <c r="C20" s="10"/>
      <c r="D20" s="10"/>
      <c r="E20" s="13" t="s">
        <v>26</v>
      </c>
      <c r="F20" s="13"/>
      <c r="G20" s="13"/>
      <c r="H20" s="13"/>
      <c r="I20" s="13"/>
      <c r="K20" s="5" t="s">
        <v>22</v>
      </c>
      <c r="M20" s="14">
        <v>8804.6682999999994</v>
      </c>
      <c r="N20" s="14"/>
      <c r="O20" s="14"/>
      <c r="Q20" s="15">
        <v>19.57</v>
      </c>
      <c r="R20" s="15"/>
      <c r="S20" s="15"/>
      <c r="T20" s="15"/>
      <c r="U20" s="15"/>
      <c r="W20" s="15">
        <v>172307.36000000002</v>
      </c>
      <c r="X20" s="15"/>
    </row>
    <row r="21" spans="2:24" ht="0.75" customHeight="1" x14ac:dyDescent="0.25">
      <c r="E21" s="13"/>
      <c r="F21" s="13"/>
      <c r="G21" s="13"/>
      <c r="H21" s="13"/>
      <c r="I21" s="13"/>
    </row>
    <row r="22" spans="2:24" ht="5.25" customHeight="1" x14ac:dyDescent="0.25"/>
    <row r="23" spans="2:24" ht="13.5" customHeight="1" x14ac:dyDescent="0.25">
      <c r="W23" s="19">
        <v>316265.82</v>
      </c>
      <c r="X23" s="19"/>
    </row>
    <row r="24" spans="2:24" ht="13.2" x14ac:dyDescent="0.25">
      <c r="B24" s="12" t="s">
        <v>27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2:24" ht="0.75" customHeight="1" x14ac:dyDescent="0.25"/>
    <row r="26" spans="2:24" ht="10.5" customHeight="1" x14ac:dyDescent="0.25">
      <c r="B26" s="10" t="s">
        <v>28</v>
      </c>
      <c r="C26" s="10"/>
      <c r="D26" s="10"/>
      <c r="E26" s="13" t="s">
        <v>29</v>
      </c>
      <c r="F26" s="13"/>
      <c r="G26" s="13"/>
      <c r="H26" s="13"/>
      <c r="I26" s="13"/>
      <c r="K26" s="5" t="s">
        <v>30</v>
      </c>
      <c r="M26" s="14">
        <v>2</v>
      </c>
      <c r="N26" s="14"/>
      <c r="O26" s="14"/>
      <c r="Q26" s="15">
        <v>338.14</v>
      </c>
      <c r="R26" s="15"/>
      <c r="S26" s="15"/>
      <c r="T26" s="15"/>
      <c r="U26" s="15"/>
      <c r="W26" s="15">
        <v>676.28</v>
      </c>
      <c r="X26" s="15"/>
    </row>
    <row r="27" spans="2:24" ht="10.5" customHeight="1" x14ac:dyDescent="0.25">
      <c r="B27" s="10" t="s">
        <v>31</v>
      </c>
      <c r="C27" s="10"/>
      <c r="D27" s="10"/>
      <c r="E27" s="13" t="s">
        <v>32</v>
      </c>
      <c r="F27" s="13"/>
      <c r="G27" s="13"/>
      <c r="H27" s="13"/>
      <c r="I27" s="13"/>
      <c r="K27" s="5" t="s">
        <v>33</v>
      </c>
      <c r="M27" s="14">
        <v>0.5</v>
      </c>
      <c r="N27" s="14"/>
      <c r="O27" s="14"/>
      <c r="Q27" s="15">
        <v>160</v>
      </c>
      <c r="R27" s="15"/>
      <c r="S27" s="15"/>
      <c r="T27" s="15"/>
      <c r="U27" s="15"/>
      <c r="W27" s="15">
        <v>80</v>
      </c>
      <c r="X27" s="15"/>
    </row>
    <row r="28" spans="2:24" ht="10.5" customHeight="1" x14ac:dyDescent="0.25">
      <c r="B28" s="10" t="s">
        <v>34</v>
      </c>
      <c r="C28" s="10"/>
      <c r="D28" s="10"/>
      <c r="E28" s="13" t="s">
        <v>35</v>
      </c>
      <c r="F28" s="13"/>
      <c r="G28" s="13"/>
      <c r="H28" s="13"/>
      <c r="I28" s="13"/>
      <c r="K28" s="5" t="s">
        <v>36</v>
      </c>
      <c r="M28" s="14">
        <v>2719.7178000000004</v>
      </c>
      <c r="N28" s="14"/>
      <c r="O28" s="14"/>
      <c r="Q28" s="15">
        <v>10</v>
      </c>
      <c r="R28" s="15"/>
      <c r="S28" s="15"/>
      <c r="T28" s="15"/>
      <c r="U28" s="15"/>
      <c r="W28" s="15">
        <v>27197.18</v>
      </c>
      <c r="X28" s="15"/>
    </row>
    <row r="29" spans="2:24" ht="10.5" customHeight="1" x14ac:dyDescent="0.25">
      <c r="B29" s="10" t="s">
        <v>37</v>
      </c>
      <c r="C29" s="10"/>
      <c r="D29" s="10"/>
      <c r="E29" s="13" t="s">
        <v>38</v>
      </c>
      <c r="F29" s="13"/>
      <c r="G29" s="13"/>
      <c r="H29" s="13"/>
      <c r="I29" s="13"/>
      <c r="K29" s="5" t="s">
        <v>39</v>
      </c>
      <c r="M29" s="14">
        <v>42.837399999999995</v>
      </c>
      <c r="N29" s="14"/>
      <c r="O29" s="14"/>
      <c r="Q29" s="15">
        <v>18.400000000000002</v>
      </c>
      <c r="R29" s="15"/>
      <c r="S29" s="15"/>
      <c r="T29" s="15"/>
      <c r="U29" s="15"/>
      <c r="W29" s="15">
        <v>788.21</v>
      </c>
      <c r="X29" s="15"/>
    </row>
    <row r="30" spans="2:24" ht="10.5" customHeight="1" x14ac:dyDescent="0.25">
      <c r="B30" s="10" t="s">
        <v>40</v>
      </c>
      <c r="C30" s="10"/>
      <c r="D30" s="10"/>
      <c r="E30" s="13" t="s">
        <v>41</v>
      </c>
      <c r="F30" s="13"/>
      <c r="G30" s="13"/>
      <c r="H30" s="13"/>
      <c r="I30" s="13"/>
      <c r="K30" s="5" t="s">
        <v>39</v>
      </c>
      <c r="M30" s="14">
        <v>2221.1480000000001</v>
      </c>
      <c r="N30" s="14"/>
      <c r="O30" s="14"/>
      <c r="Q30" s="15">
        <v>17.3</v>
      </c>
      <c r="R30" s="15"/>
      <c r="S30" s="15"/>
      <c r="T30" s="15"/>
      <c r="U30" s="15"/>
      <c r="W30" s="15">
        <v>38425.86</v>
      </c>
      <c r="X30" s="15"/>
    </row>
    <row r="31" spans="2:24" ht="10.5" customHeight="1" x14ac:dyDescent="0.25">
      <c r="B31" s="10" t="s">
        <v>42</v>
      </c>
      <c r="C31" s="10"/>
      <c r="D31" s="10"/>
      <c r="E31" s="13" t="s">
        <v>43</v>
      </c>
      <c r="F31" s="13"/>
      <c r="G31" s="13"/>
      <c r="H31" s="13"/>
      <c r="I31" s="13"/>
      <c r="K31" s="5" t="s">
        <v>39</v>
      </c>
      <c r="M31" s="14">
        <v>2197.8258999999998</v>
      </c>
      <c r="N31" s="14"/>
      <c r="O31" s="14"/>
      <c r="Q31" s="15">
        <v>14</v>
      </c>
      <c r="R31" s="15"/>
      <c r="S31" s="15"/>
      <c r="T31" s="15"/>
      <c r="U31" s="15"/>
      <c r="W31" s="15">
        <v>30769.56</v>
      </c>
      <c r="X31" s="15"/>
    </row>
    <row r="32" spans="2:24" ht="10.5" customHeight="1" x14ac:dyDescent="0.25">
      <c r="B32" s="10" t="s">
        <v>44</v>
      </c>
      <c r="C32" s="10"/>
      <c r="D32" s="10"/>
      <c r="E32" s="13" t="s">
        <v>45</v>
      </c>
      <c r="F32" s="13"/>
      <c r="G32" s="13"/>
      <c r="H32" s="13"/>
      <c r="I32" s="13"/>
      <c r="K32" s="5" t="s">
        <v>46</v>
      </c>
      <c r="M32" s="14">
        <v>417.82620000000003</v>
      </c>
      <c r="N32" s="14"/>
      <c r="O32" s="14"/>
      <c r="Q32" s="15">
        <v>720</v>
      </c>
      <c r="R32" s="15"/>
      <c r="S32" s="15"/>
      <c r="T32" s="15"/>
      <c r="U32" s="15"/>
      <c r="W32" s="15">
        <v>300834.86</v>
      </c>
      <c r="X32" s="15"/>
    </row>
    <row r="33" spans="2:24" ht="10.5" customHeight="1" x14ac:dyDescent="0.25">
      <c r="B33" s="10" t="s">
        <v>47</v>
      </c>
      <c r="C33" s="10"/>
      <c r="D33" s="10"/>
      <c r="E33" s="13" t="s">
        <v>48</v>
      </c>
      <c r="F33" s="13"/>
      <c r="G33" s="13"/>
      <c r="H33" s="13"/>
      <c r="I33" s="13"/>
      <c r="K33" s="5" t="s">
        <v>49</v>
      </c>
      <c r="M33" s="14">
        <v>1</v>
      </c>
      <c r="N33" s="14"/>
      <c r="O33" s="14"/>
      <c r="Q33" s="15">
        <v>10566.41</v>
      </c>
      <c r="R33" s="15"/>
      <c r="S33" s="15"/>
      <c r="T33" s="15"/>
      <c r="U33" s="15"/>
      <c r="W33" s="15">
        <v>10566.41</v>
      </c>
      <c r="X33" s="15"/>
    </row>
    <row r="34" spans="2:24" ht="10.5" customHeight="1" x14ac:dyDescent="0.25">
      <c r="B34" s="10" t="s">
        <v>50</v>
      </c>
      <c r="C34" s="10"/>
      <c r="D34" s="10"/>
      <c r="E34" s="13" t="s">
        <v>51</v>
      </c>
      <c r="F34" s="13"/>
      <c r="G34" s="13"/>
      <c r="H34" s="13"/>
      <c r="I34" s="13"/>
      <c r="K34" s="5" t="s">
        <v>52</v>
      </c>
      <c r="M34" s="14">
        <v>261.56610000000001</v>
      </c>
      <c r="N34" s="14"/>
      <c r="O34" s="14"/>
      <c r="Q34" s="15">
        <v>5.8500000000000005</v>
      </c>
      <c r="R34" s="15"/>
      <c r="S34" s="15"/>
      <c r="T34" s="15"/>
      <c r="U34" s="15"/>
      <c r="W34" s="15">
        <v>1530.16</v>
      </c>
      <c r="X34" s="15"/>
    </row>
    <row r="35" spans="2:24" ht="10.5" customHeight="1" x14ac:dyDescent="0.25">
      <c r="B35" s="10" t="s">
        <v>53</v>
      </c>
      <c r="C35" s="10"/>
      <c r="D35" s="10"/>
      <c r="E35" s="13" t="s">
        <v>54</v>
      </c>
      <c r="F35" s="13"/>
      <c r="G35" s="13"/>
      <c r="H35" s="13"/>
      <c r="I35" s="13"/>
      <c r="K35" s="5" t="s">
        <v>52</v>
      </c>
      <c r="M35" s="14">
        <v>378.14190000000002</v>
      </c>
      <c r="N35" s="14"/>
      <c r="O35" s="14"/>
      <c r="Q35" s="15">
        <v>5.8500000000000005</v>
      </c>
      <c r="R35" s="15"/>
      <c r="S35" s="15"/>
      <c r="T35" s="15"/>
      <c r="U35" s="15"/>
      <c r="W35" s="15">
        <v>2212.13</v>
      </c>
      <c r="X35" s="15"/>
    </row>
    <row r="36" spans="2:24" ht="10.5" customHeight="1" x14ac:dyDescent="0.25">
      <c r="B36" s="10" t="s">
        <v>55</v>
      </c>
      <c r="C36" s="10"/>
      <c r="D36" s="10"/>
      <c r="E36" s="13" t="s">
        <v>56</v>
      </c>
      <c r="F36" s="13"/>
      <c r="G36" s="13"/>
      <c r="H36" s="13"/>
      <c r="I36" s="13"/>
      <c r="K36" s="5" t="s">
        <v>52</v>
      </c>
      <c r="M36" s="14">
        <v>8697.8694999999989</v>
      </c>
      <c r="N36" s="14"/>
      <c r="O36" s="14"/>
      <c r="Q36" s="15">
        <v>4.18</v>
      </c>
      <c r="R36" s="15"/>
      <c r="S36" s="15"/>
      <c r="T36" s="15"/>
      <c r="U36" s="15"/>
      <c r="W36" s="15">
        <v>36357.090000000004</v>
      </c>
      <c r="X36" s="15"/>
    </row>
    <row r="37" spans="2:24" ht="10.5" customHeight="1" x14ac:dyDescent="0.25">
      <c r="B37" s="10" t="s">
        <v>57</v>
      </c>
      <c r="C37" s="10"/>
      <c r="D37" s="10"/>
      <c r="E37" s="13" t="s">
        <v>58</v>
      </c>
      <c r="F37" s="13"/>
      <c r="G37" s="13"/>
      <c r="H37" s="13"/>
      <c r="I37" s="13"/>
      <c r="K37" s="5" t="s">
        <v>52</v>
      </c>
      <c r="M37" s="14">
        <v>590.42010000000005</v>
      </c>
      <c r="N37" s="14"/>
      <c r="O37" s="14"/>
      <c r="Q37" s="15">
        <v>3.9</v>
      </c>
      <c r="R37" s="15"/>
      <c r="S37" s="15"/>
      <c r="T37" s="15"/>
      <c r="U37" s="15"/>
      <c r="W37" s="15">
        <v>2302.64</v>
      </c>
      <c r="X37" s="15"/>
    </row>
    <row r="38" spans="2:24" ht="10.5" customHeight="1" x14ac:dyDescent="0.25">
      <c r="B38" s="10" t="s">
        <v>59</v>
      </c>
      <c r="C38" s="10"/>
      <c r="D38" s="10"/>
      <c r="E38" s="13" t="s">
        <v>60</v>
      </c>
      <c r="F38" s="13"/>
      <c r="G38" s="13"/>
      <c r="H38" s="13"/>
      <c r="I38" s="13"/>
      <c r="K38" s="5" t="s">
        <v>33</v>
      </c>
      <c r="M38" s="14">
        <v>0.5</v>
      </c>
      <c r="N38" s="14"/>
      <c r="O38" s="14"/>
      <c r="Q38" s="15">
        <v>79.8</v>
      </c>
      <c r="R38" s="15"/>
      <c r="S38" s="15"/>
      <c r="T38" s="15"/>
      <c r="U38" s="15"/>
      <c r="W38" s="15">
        <v>39.9</v>
      </c>
      <c r="X38" s="15"/>
    </row>
    <row r="39" spans="2:24" ht="10.5" customHeight="1" x14ac:dyDescent="0.25">
      <c r="B39" s="10" t="s">
        <v>61</v>
      </c>
      <c r="C39" s="10"/>
      <c r="D39" s="10"/>
      <c r="E39" s="13" t="s">
        <v>62</v>
      </c>
      <c r="F39" s="13"/>
      <c r="G39" s="13"/>
      <c r="H39" s="13"/>
      <c r="I39" s="13"/>
      <c r="K39" s="5" t="s">
        <v>46</v>
      </c>
      <c r="M39" s="14">
        <v>354.1225</v>
      </c>
      <c r="N39" s="14"/>
      <c r="O39" s="14"/>
      <c r="Q39" s="15">
        <v>70</v>
      </c>
      <c r="R39" s="15"/>
      <c r="S39" s="15"/>
      <c r="T39" s="15"/>
      <c r="U39" s="15"/>
      <c r="W39" s="15">
        <v>24788.58</v>
      </c>
      <c r="X39" s="15"/>
    </row>
    <row r="40" spans="2:24" ht="10.5" customHeight="1" x14ac:dyDescent="0.25">
      <c r="B40" s="10" t="s">
        <v>63</v>
      </c>
      <c r="C40" s="10"/>
      <c r="D40" s="10"/>
      <c r="E40" s="13" t="s">
        <v>64</v>
      </c>
      <c r="F40" s="13"/>
      <c r="G40" s="13"/>
      <c r="H40" s="13"/>
      <c r="I40" s="13"/>
      <c r="K40" s="5" t="s">
        <v>46</v>
      </c>
      <c r="M40" s="14">
        <v>3.3385000000000002</v>
      </c>
      <c r="N40" s="14"/>
      <c r="O40" s="14"/>
      <c r="Q40" s="15">
        <v>42</v>
      </c>
      <c r="R40" s="15"/>
      <c r="S40" s="15"/>
      <c r="T40" s="15"/>
      <c r="U40" s="15"/>
      <c r="W40" s="15">
        <v>140.22</v>
      </c>
      <c r="X40" s="15"/>
    </row>
    <row r="41" spans="2:24" ht="10.5" customHeight="1" x14ac:dyDescent="0.25">
      <c r="B41" s="10" t="s">
        <v>65</v>
      </c>
      <c r="C41" s="10"/>
      <c r="D41" s="10"/>
      <c r="E41" s="13" t="s">
        <v>66</v>
      </c>
      <c r="F41" s="13"/>
      <c r="G41" s="13"/>
      <c r="H41" s="13"/>
      <c r="I41" s="13"/>
      <c r="K41" s="5" t="s">
        <v>46</v>
      </c>
      <c r="M41" s="14">
        <v>5.6921000000000008</v>
      </c>
      <c r="N41" s="14"/>
      <c r="O41" s="14"/>
      <c r="Q41" s="15">
        <v>36.020000000000003</v>
      </c>
      <c r="R41" s="15"/>
      <c r="S41" s="15"/>
      <c r="T41" s="15"/>
      <c r="U41" s="15"/>
      <c r="W41" s="15">
        <v>205.03</v>
      </c>
      <c r="X41" s="15"/>
    </row>
    <row r="42" spans="2:24" ht="10.5" customHeight="1" x14ac:dyDescent="0.25">
      <c r="B42" s="10" t="s">
        <v>67</v>
      </c>
      <c r="C42" s="10"/>
      <c r="D42" s="10"/>
      <c r="E42" s="13" t="s">
        <v>68</v>
      </c>
      <c r="F42" s="13"/>
      <c r="G42" s="13"/>
      <c r="H42" s="13"/>
      <c r="I42" s="13"/>
      <c r="K42" s="5" t="s">
        <v>46</v>
      </c>
      <c r="M42" s="14">
        <v>876.3415</v>
      </c>
      <c r="N42" s="14"/>
      <c r="O42" s="14"/>
      <c r="Q42" s="15">
        <v>36.020000000000003</v>
      </c>
      <c r="R42" s="15"/>
      <c r="S42" s="15"/>
      <c r="T42" s="15"/>
      <c r="U42" s="15"/>
      <c r="W42" s="15">
        <v>31565.82</v>
      </c>
      <c r="X42" s="15"/>
    </row>
    <row r="43" spans="2:24" ht="10.5" customHeight="1" x14ac:dyDescent="0.25">
      <c r="B43" s="10" t="s">
        <v>69</v>
      </c>
      <c r="C43" s="10"/>
      <c r="D43" s="10"/>
      <c r="E43" s="13" t="s">
        <v>70</v>
      </c>
      <c r="F43" s="13"/>
      <c r="G43" s="13"/>
      <c r="H43" s="13"/>
      <c r="I43" s="13"/>
      <c r="K43" s="5" t="s">
        <v>46</v>
      </c>
      <c r="M43" s="14">
        <v>326.04520000000002</v>
      </c>
      <c r="N43" s="14"/>
      <c r="O43" s="14"/>
      <c r="Q43" s="15">
        <v>50</v>
      </c>
      <c r="R43" s="15"/>
      <c r="S43" s="15"/>
      <c r="T43" s="15"/>
      <c r="U43" s="15"/>
      <c r="W43" s="15">
        <v>16302.26</v>
      </c>
      <c r="X43" s="15"/>
    </row>
    <row r="44" spans="2:24" ht="10.5" customHeight="1" x14ac:dyDescent="0.25">
      <c r="B44" s="10" t="s">
        <v>71</v>
      </c>
      <c r="C44" s="10"/>
      <c r="D44" s="10"/>
      <c r="E44" s="13" t="s">
        <v>72</v>
      </c>
      <c r="F44" s="13"/>
      <c r="G44" s="13"/>
      <c r="H44" s="13"/>
      <c r="I44" s="13"/>
      <c r="K44" s="5" t="s">
        <v>46</v>
      </c>
      <c r="M44" s="14">
        <v>692.22460000000012</v>
      </c>
      <c r="N44" s="14"/>
      <c r="O44" s="14"/>
      <c r="Q44" s="15">
        <v>41.1</v>
      </c>
      <c r="R44" s="15"/>
      <c r="S44" s="15"/>
      <c r="T44" s="15"/>
      <c r="U44" s="15"/>
      <c r="W44" s="15">
        <v>28450.43</v>
      </c>
      <c r="X44" s="15"/>
    </row>
    <row r="45" spans="2:24" ht="10.5" customHeight="1" x14ac:dyDescent="0.25">
      <c r="B45" s="10" t="s">
        <v>73</v>
      </c>
      <c r="C45" s="10"/>
      <c r="D45" s="10"/>
      <c r="E45" s="13" t="s">
        <v>74</v>
      </c>
      <c r="F45" s="13"/>
      <c r="G45" s="13"/>
      <c r="H45" s="13"/>
      <c r="I45" s="13"/>
      <c r="K45" s="5" t="s">
        <v>46</v>
      </c>
      <c r="M45" s="14">
        <v>586.60800000000006</v>
      </c>
      <c r="N45" s="14"/>
      <c r="O45" s="14"/>
      <c r="Q45" s="15">
        <v>25</v>
      </c>
      <c r="R45" s="15"/>
      <c r="S45" s="15"/>
      <c r="T45" s="15"/>
      <c r="U45" s="15"/>
      <c r="W45" s="15">
        <v>14665.2</v>
      </c>
      <c r="X45" s="15"/>
    </row>
    <row r="46" spans="2:24" ht="9.75" customHeight="1" x14ac:dyDescent="0.25">
      <c r="B46" s="10" t="s">
        <v>75</v>
      </c>
      <c r="C46" s="10"/>
      <c r="D46" s="10"/>
      <c r="E46" s="8" t="s">
        <v>76</v>
      </c>
      <c r="F46" s="8"/>
      <c r="G46" s="8"/>
      <c r="H46" s="8"/>
      <c r="I46" s="8"/>
      <c r="K46" s="5" t="s">
        <v>77</v>
      </c>
      <c r="M46" s="14">
        <v>25</v>
      </c>
      <c r="N46" s="14"/>
      <c r="O46" s="14"/>
      <c r="Q46" s="15">
        <v>66.02</v>
      </c>
      <c r="R46" s="15"/>
      <c r="S46" s="15"/>
      <c r="T46" s="15"/>
      <c r="U46" s="15"/>
      <c r="W46" s="15">
        <v>1650.5</v>
      </c>
      <c r="X46" s="15"/>
    </row>
    <row r="47" spans="2:24" ht="11.25" customHeight="1" x14ac:dyDescent="0.25">
      <c r="E47" s="8"/>
      <c r="F47" s="8"/>
      <c r="G47" s="8"/>
      <c r="H47" s="8"/>
      <c r="I47" s="8"/>
    </row>
    <row r="48" spans="2:24" ht="10.5" customHeight="1" x14ac:dyDescent="0.25">
      <c r="B48" s="10" t="s">
        <v>78</v>
      </c>
      <c r="C48" s="10"/>
      <c r="D48" s="10"/>
      <c r="E48" s="13" t="s">
        <v>79</v>
      </c>
      <c r="F48" s="13"/>
      <c r="G48" s="13"/>
      <c r="H48" s="13"/>
      <c r="I48" s="13"/>
      <c r="K48" s="5" t="s">
        <v>33</v>
      </c>
      <c r="M48" s="14">
        <v>118.8021</v>
      </c>
      <c r="N48" s="14"/>
      <c r="O48" s="14"/>
      <c r="Q48" s="15">
        <v>18.559999999999999</v>
      </c>
      <c r="R48" s="15"/>
      <c r="S48" s="15"/>
      <c r="T48" s="15"/>
      <c r="U48" s="15"/>
      <c r="W48" s="15">
        <v>2204.9700000000003</v>
      </c>
      <c r="X48" s="15"/>
    </row>
    <row r="49" spans="2:24" ht="10.5" customHeight="1" x14ac:dyDescent="0.25">
      <c r="B49" s="10" t="s">
        <v>80</v>
      </c>
      <c r="C49" s="10"/>
      <c r="D49" s="10"/>
      <c r="E49" s="13" t="s">
        <v>81</v>
      </c>
      <c r="F49" s="13"/>
      <c r="G49" s="13"/>
      <c r="H49" s="13"/>
      <c r="I49" s="13"/>
      <c r="K49" s="5" t="s">
        <v>82</v>
      </c>
      <c r="M49" s="14">
        <v>5001.3568000000005</v>
      </c>
      <c r="N49" s="14"/>
      <c r="O49" s="14"/>
      <c r="Q49" s="15">
        <v>28.900000000000002</v>
      </c>
      <c r="R49" s="15"/>
      <c r="S49" s="15"/>
      <c r="T49" s="15"/>
      <c r="U49" s="15"/>
      <c r="W49" s="15">
        <v>144539.21</v>
      </c>
      <c r="X49" s="15"/>
    </row>
    <row r="50" spans="2:24" ht="10.5" customHeight="1" x14ac:dyDescent="0.25">
      <c r="B50" s="10" t="s">
        <v>83</v>
      </c>
      <c r="C50" s="10"/>
      <c r="D50" s="10"/>
      <c r="E50" s="13" t="s">
        <v>84</v>
      </c>
      <c r="F50" s="13"/>
      <c r="G50" s="13"/>
      <c r="H50" s="13"/>
      <c r="I50" s="13"/>
      <c r="K50" s="5" t="s">
        <v>82</v>
      </c>
      <c r="M50" s="14">
        <v>76.730400000000003</v>
      </c>
      <c r="N50" s="14"/>
      <c r="O50" s="14"/>
      <c r="Q50" s="15">
        <v>16.02</v>
      </c>
      <c r="R50" s="15"/>
      <c r="S50" s="15"/>
      <c r="T50" s="15"/>
      <c r="U50" s="15"/>
      <c r="W50" s="15">
        <v>1229.22</v>
      </c>
      <c r="X50" s="15"/>
    </row>
    <row r="51" spans="2:24" ht="9.75" customHeight="1" x14ac:dyDescent="0.25">
      <c r="B51" s="10" t="s">
        <v>85</v>
      </c>
      <c r="C51" s="10"/>
      <c r="D51" s="10"/>
      <c r="E51" s="8" t="s">
        <v>86</v>
      </c>
      <c r="F51" s="8"/>
      <c r="G51" s="8"/>
      <c r="H51" s="8"/>
      <c r="I51" s="8"/>
      <c r="K51" s="5" t="s">
        <v>30</v>
      </c>
      <c r="M51" s="14">
        <v>3857</v>
      </c>
      <c r="N51" s="14"/>
      <c r="O51" s="14"/>
      <c r="Q51" s="15">
        <v>0.93</v>
      </c>
      <c r="R51" s="15"/>
      <c r="S51" s="15"/>
      <c r="T51" s="15"/>
      <c r="U51" s="15"/>
      <c r="W51" s="15">
        <v>3587.01</v>
      </c>
      <c r="X51" s="15"/>
    </row>
    <row r="52" spans="2:24" ht="11.25" customHeight="1" x14ac:dyDescent="0.25">
      <c r="E52" s="8"/>
      <c r="F52" s="8"/>
      <c r="G52" s="8"/>
      <c r="H52" s="8"/>
      <c r="I52" s="8"/>
    </row>
    <row r="53" spans="2:24" ht="9.75" customHeight="1" x14ac:dyDescent="0.25">
      <c r="B53" s="10" t="s">
        <v>87</v>
      </c>
      <c r="C53" s="10"/>
      <c r="D53" s="10"/>
      <c r="E53" s="8" t="s">
        <v>88</v>
      </c>
      <c r="F53" s="8"/>
      <c r="G53" s="8"/>
      <c r="H53" s="8"/>
      <c r="I53" s="8"/>
      <c r="K53" s="5" t="s">
        <v>30</v>
      </c>
      <c r="M53" s="14">
        <v>4274.5</v>
      </c>
      <c r="N53" s="14"/>
      <c r="O53" s="14"/>
      <c r="Q53" s="15">
        <v>0.93</v>
      </c>
      <c r="R53" s="15"/>
      <c r="S53" s="15"/>
      <c r="T53" s="15"/>
      <c r="U53" s="15"/>
      <c r="W53" s="15">
        <v>3975.29</v>
      </c>
      <c r="X53" s="15"/>
    </row>
    <row r="54" spans="2:24" ht="11.25" customHeight="1" x14ac:dyDescent="0.25">
      <c r="E54" s="8"/>
      <c r="F54" s="8"/>
      <c r="G54" s="8"/>
      <c r="H54" s="8"/>
      <c r="I54" s="8"/>
    </row>
    <row r="55" spans="2:24" ht="10.5" customHeight="1" x14ac:dyDescent="0.25">
      <c r="B55" s="10" t="s">
        <v>89</v>
      </c>
      <c r="C55" s="10"/>
      <c r="D55" s="10"/>
      <c r="E55" s="13" t="s">
        <v>90</v>
      </c>
      <c r="F55" s="13"/>
      <c r="G55" s="13"/>
      <c r="H55" s="13"/>
      <c r="I55" s="13"/>
      <c r="K55" s="5" t="s">
        <v>30</v>
      </c>
      <c r="M55" s="14">
        <v>20</v>
      </c>
      <c r="N55" s="14"/>
      <c r="O55" s="14"/>
      <c r="Q55" s="15">
        <v>21.95</v>
      </c>
      <c r="R55" s="15"/>
      <c r="S55" s="15"/>
      <c r="T55" s="15"/>
      <c r="U55" s="15"/>
      <c r="W55" s="15">
        <v>439</v>
      </c>
      <c r="X55" s="15"/>
    </row>
    <row r="56" spans="2:24" ht="10.5" customHeight="1" x14ac:dyDescent="0.25">
      <c r="B56" s="10" t="s">
        <v>91</v>
      </c>
      <c r="C56" s="10"/>
      <c r="D56" s="10"/>
      <c r="E56" s="13" t="s">
        <v>92</v>
      </c>
      <c r="F56" s="13"/>
      <c r="G56" s="13"/>
      <c r="H56" s="13"/>
      <c r="I56" s="13"/>
      <c r="K56" s="5" t="s">
        <v>30</v>
      </c>
      <c r="M56" s="14">
        <v>10</v>
      </c>
      <c r="N56" s="14"/>
      <c r="O56" s="14"/>
      <c r="Q56" s="15">
        <v>33</v>
      </c>
      <c r="R56" s="15"/>
      <c r="S56" s="15"/>
      <c r="T56" s="15"/>
      <c r="U56" s="15"/>
      <c r="W56" s="15">
        <v>330</v>
      </c>
      <c r="X56" s="15"/>
    </row>
    <row r="57" spans="2:24" ht="10.5" customHeight="1" x14ac:dyDescent="0.25">
      <c r="B57" s="10" t="s">
        <v>93</v>
      </c>
      <c r="C57" s="10"/>
      <c r="D57" s="10"/>
      <c r="E57" s="13" t="s">
        <v>94</v>
      </c>
      <c r="F57" s="13"/>
      <c r="G57" s="13"/>
      <c r="H57" s="13"/>
      <c r="I57" s="13"/>
      <c r="K57" s="5" t="s">
        <v>46</v>
      </c>
      <c r="M57" s="14">
        <v>3307.9670000000001</v>
      </c>
      <c r="N57" s="14"/>
      <c r="O57" s="14"/>
      <c r="Q57" s="15">
        <v>35</v>
      </c>
      <c r="R57" s="15"/>
      <c r="S57" s="15"/>
      <c r="T57" s="15"/>
      <c r="U57" s="15"/>
      <c r="W57" s="15">
        <v>115778.85</v>
      </c>
      <c r="X57" s="15"/>
    </row>
    <row r="58" spans="2:24" ht="9.75" customHeight="1" x14ac:dyDescent="0.25">
      <c r="B58" s="10" t="s">
        <v>95</v>
      </c>
      <c r="C58" s="10"/>
      <c r="D58" s="10"/>
      <c r="E58" s="8" t="s">
        <v>96</v>
      </c>
      <c r="F58" s="8"/>
      <c r="G58" s="8"/>
      <c r="H58" s="8"/>
      <c r="I58" s="8"/>
      <c r="K58" s="5" t="s">
        <v>30</v>
      </c>
      <c r="M58" s="14">
        <v>160</v>
      </c>
      <c r="N58" s="14"/>
      <c r="O58" s="14"/>
      <c r="Q58" s="15">
        <v>64.41</v>
      </c>
      <c r="R58" s="15"/>
      <c r="S58" s="15"/>
      <c r="T58" s="15"/>
      <c r="U58" s="15"/>
      <c r="W58" s="15">
        <v>10305.6</v>
      </c>
      <c r="X58" s="15"/>
    </row>
    <row r="59" spans="2:24" ht="11.25" customHeight="1" x14ac:dyDescent="0.25">
      <c r="E59" s="8"/>
      <c r="F59" s="8"/>
      <c r="G59" s="8"/>
      <c r="H59" s="8"/>
      <c r="I59" s="8"/>
    </row>
    <row r="60" spans="2:24" ht="10.5" customHeight="1" x14ac:dyDescent="0.25">
      <c r="B60" s="10" t="s">
        <v>97</v>
      </c>
      <c r="C60" s="10"/>
      <c r="D60" s="10"/>
      <c r="E60" s="13" t="s">
        <v>98</v>
      </c>
      <c r="F60" s="13"/>
      <c r="G60" s="13"/>
      <c r="H60" s="13"/>
      <c r="I60" s="13"/>
      <c r="K60" s="5" t="s">
        <v>39</v>
      </c>
      <c r="M60" s="14">
        <v>1.2495000000000001</v>
      </c>
      <c r="N60" s="14"/>
      <c r="O60" s="14"/>
      <c r="Q60" s="15">
        <v>55.93</v>
      </c>
      <c r="R60" s="15"/>
      <c r="S60" s="15"/>
      <c r="T60" s="15"/>
      <c r="U60" s="15"/>
      <c r="W60" s="15">
        <v>69.88</v>
      </c>
      <c r="X60" s="15"/>
    </row>
    <row r="61" spans="2:24" ht="10.5" customHeight="1" x14ac:dyDescent="0.25">
      <c r="B61" s="10" t="s">
        <v>99</v>
      </c>
      <c r="C61" s="10"/>
      <c r="D61" s="10"/>
      <c r="E61" s="13" t="s">
        <v>100</v>
      </c>
      <c r="F61" s="13"/>
      <c r="G61" s="13"/>
      <c r="H61" s="13"/>
      <c r="I61" s="13"/>
      <c r="K61" s="5" t="s">
        <v>39</v>
      </c>
      <c r="M61" s="14">
        <v>72.03</v>
      </c>
      <c r="N61" s="14"/>
      <c r="O61" s="14"/>
      <c r="Q61" s="15">
        <v>47.37</v>
      </c>
      <c r="R61" s="15"/>
      <c r="S61" s="15"/>
      <c r="T61" s="15"/>
      <c r="U61" s="15"/>
      <c r="W61" s="15">
        <v>3412.06</v>
      </c>
      <c r="X61" s="15"/>
    </row>
    <row r="62" spans="2:24" ht="10.5" customHeight="1" x14ac:dyDescent="0.25">
      <c r="B62" s="10" t="s">
        <v>101</v>
      </c>
      <c r="C62" s="10"/>
      <c r="D62" s="10"/>
      <c r="E62" s="13" t="s">
        <v>102</v>
      </c>
      <c r="F62" s="13"/>
      <c r="G62" s="13"/>
      <c r="H62" s="13"/>
      <c r="I62" s="13"/>
      <c r="K62" s="5" t="s">
        <v>103</v>
      </c>
      <c r="M62" s="14">
        <v>8896.8169999999991</v>
      </c>
      <c r="N62" s="14"/>
      <c r="O62" s="14"/>
      <c r="Q62" s="15">
        <v>6.65</v>
      </c>
      <c r="R62" s="15"/>
      <c r="S62" s="15"/>
      <c r="T62" s="15"/>
      <c r="U62" s="15"/>
      <c r="W62" s="15">
        <v>59163.83</v>
      </c>
      <c r="X62" s="15"/>
    </row>
    <row r="63" spans="2:24" ht="10.5" customHeight="1" x14ac:dyDescent="0.25">
      <c r="B63" s="10" t="s">
        <v>104</v>
      </c>
      <c r="C63" s="10"/>
      <c r="D63" s="10"/>
      <c r="E63" s="13" t="s">
        <v>105</v>
      </c>
      <c r="F63" s="13"/>
      <c r="G63" s="13"/>
      <c r="H63" s="13"/>
      <c r="I63" s="13"/>
      <c r="K63" s="5" t="s">
        <v>106</v>
      </c>
      <c r="M63" s="14">
        <v>131.19749999999999</v>
      </c>
      <c r="N63" s="14"/>
      <c r="O63" s="14"/>
      <c r="Q63" s="15">
        <v>30.51</v>
      </c>
      <c r="R63" s="15"/>
      <c r="S63" s="15"/>
      <c r="T63" s="15"/>
      <c r="U63" s="15"/>
      <c r="W63" s="15">
        <v>4002.84</v>
      </c>
      <c r="X63" s="15"/>
    </row>
    <row r="64" spans="2:24" ht="9.75" customHeight="1" x14ac:dyDescent="0.25">
      <c r="B64" s="10" t="s">
        <v>107</v>
      </c>
      <c r="C64" s="10"/>
      <c r="D64" s="10"/>
      <c r="E64" s="8" t="s">
        <v>108</v>
      </c>
      <c r="F64" s="8"/>
      <c r="G64" s="8"/>
      <c r="H64" s="8"/>
      <c r="I64" s="8"/>
      <c r="K64" s="5" t="s">
        <v>30</v>
      </c>
      <c r="M64" s="14">
        <v>6</v>
      </c>
      <c r="N64" s="14"/>
      <c r="O64" s="14"/>
      <c r="Q64" s="15">
        <v>300</v>
      </c>
      <c r="R64" s="15"/>
      <c r="S64" s="15"/>
      <c r="T64" s="15"/>
      <c r="U64" s="15"/>
      <c r="W64" s="15">
        <v>1800</v>
      </c>
      <c r="X64" s="15"/>
    </row>
    <row r="65" spans="2:24" ht="11.25" customHeight="1" x14ac:dyDescent="0.25">
      <c r="E65" s="8"/>
      <c r="F65" s="8"/>
      <c r="G65" s="8"/>
      <c r="H65" s="8"/>
      <c r="I65" s="8"/>
    </row>
    <row r="66" spans="2:24" ht="10.5" customHeight="1" x14ac:dyDescent="0.25">
      <c r="B66" s="10" t="s">
        <v>109</v>
      </c>
      <c r="C66" s="10"/>
      <c r="D66" s="10"/>
      <c r="E66" s="13" t="s">
        <v>110</v>
      </c>
      <c r="F66" s="13"/>
      <c r="G66" s="13"/>
      <c r="H66" s="13"/>
      <c r="I66" s="13"/>
      <c r="K66" s="5" t="s">
        <v>111</v>
      </c>
      <c r="M66" s="14">
        <v>2</v>
      </c>
      <c r="N66" s="14"/>
      <c r="O66" s="14"/>
      <c r="Q66" s="15">
        <v>2.54</v>
      </c>
      <c r="R66" s="15"/>
      <c r="S66" s="15"/>
      <c r="T66" s="15"/>
      <c r="U66" s="15"/>
      <c r="W66" s="15">
        <v>5.08</v>
      </c>
      <c r="X66" s="15"/>
    </row>
    <row r="67" spans="2:24" ht="10.5" customHeight="1" x14ac:dyDescent="0.25">
      <c r="B67" s="10" t="s">
        <v>112</v>
      </c>
      <c r="C67" s="10"/>
      <c r="D67" s="10"/>
      <c r="E67" s="13" t="s">
        <v>113</v>
      </c>
      <c r="F67" s="13"/>
      <c r="G67" s="13"/>
      <c r="H67" s="13"/>
      <c r="I67" s="13"/>
      <c r="K67" s="5" t="s">
        <v>39</v>
      </c>
      <c r="M67" s="14">
        <v>0.1</v>
      </c>
      <c r="N67" s="14"/>
      <c r="O67" s="14"/>
      <c r="Q67" s="15">
        <v>56.78</v>
      </c>
      <c r="R67" s="15"/>
      <c r="S67" s="15"/>
      <c r="T67" s="15"/>
      <c r="U67" s="15"/>
      <c r="W67" s="15">
        <v>5.68</v>
      </c>
      <c r="X67" s="15"/>
    </row>
    <row r="68" spans="2:24" ht="10.5" customHeight="1" x14ac:dyDescent="0.25">
      <c r="B68" s="10" t="s">
        <v>114</v>
      </c>
      <c r="C68" s="10"/>
      <c r="D68" s="10"/>
      <c r="E68" s="13" t="s">
        <v>115</v>
      </c>
      <c r="F68" s="13"/>
      <c r="G68" s="13"/>
      <c r="H68" s="13"/>
      <c r="I68" s="13"/>
      <c r="K68" s="5" t="s">
        <v>39</v>
      </c>
      <c r="M68" s="14">
        <v>98.231499999999997</v>
      </c>
      <c r="N68" s="14"/>
      <c r="O68" s="14"/>
      <c r="Q68" s="15">
        <v>56.78</v>
      </c>
      <c r="R68" s="15"/>
      <c r="S68" s="15"/>
      <c r="T68" s="15"/>
      <c r="U68" s="15"/>
      <c r="W68" s="15">
        <v>5577.58</v>
      </c>
      <c r="X68" s="15"/>
    </row>
    <row r="69" spans="2:24" ht="10.5" customHeight="1" x14ac:dyDescent="0.25">
      <c r="B69" s="10" t="s">
        <v>116</v>
      </c>
      <c r="C69" s="10"/>
      <c r="D69" s="10"/>
      <c r="E69" s="13" t="s">
        <v>117</v>
      </c>
      <c r="F69" s="13"/>
      <c r="G69" s="13"/>
      <c r="H69" s="13"/>
      <c r="I69" s="13"/>
      <c r="K69" s="5" t="s">
        <v>39</v>
      </c>
      <c r="M69" s="14">
        <v>200.1</v>
      </c>
      <c r="N69" s="14"/>
      <c r="O69" s="14"/>
      <c r="Q69" s="15">
        <v>81.78</v>
      </c>
      <c r="R69" s="15"/>
      <c r="S69" s="15"/>
      <c r="T69" s="15"/>
      <c r="U69" s="15"/>
      <c r="W69" s="15">
        <v>16364.18</v>
      </c>
      <c r="X69" s="15"/>
    </row>
    <row r="70" spans="2:24" ht="10.5" customHeight="1" x14ac:dyDescent="0.25">
      <c r="B70" s="10" t="s">
        <v>118</v>
      </c>
      <c r="C70" s="10"/>
      <c r="D70" s="10"/>
      <c r="E70" s="13" t="s">
        <v>119</v>
      </c>
      <c r="F70" s="13"/>
      <c r="G70" s="13"/>
      <c r="H70" s="13"/>
      <c r="I70" s="13"/>
      <c r="K70" s="5" t="s">
        <v>39</v>
      </c>
      <c r="M70" s="14">
        <v>0.1</v>
      </c>
      <c r="N70" s="14"/>
      <c r="O70" s="14"/>
      <c r="Q70" s="15">
        <v>53.39</v>
      </c>
      <c r="R70" s="15"/>
      <c r="S70" s="15"/>
      <c r="T70" s="15"/>
      <c r="U70" s="15"/>
      <c r="W70" s="15">
        <v>5.34</v>
      </c>
      <c r="X70" s="15"/>
    </row>
    <row r="71" spans="2:24" ht="10.5" customHeight="1" x14ac:dyDescent="0.25">
      <c r="B71" s="10" t="s">
        <v>120</v>
      </c>
      <c r="C71" s="10"/>
      <c r="D71" s="10"/>
      <c r="E71" s="13" t="s">
        <v>121</v>
      </c>
      <c r="F71" s="13"/>
      <c r="G71" s="13"/>
      <c r="H71" s="13"/>
      <c r="I71" s="13"/>
      <c r="K71" s="5" t="s">
        <v>39</v>
      </c>
      <c r="M71" s="14">
        <v>40.040199999999999</v>
      </c>
      <c r="N71" s="14"/>
      <c r="O71" s="14"/>
      <c r="Q71" s="15">
        <v>30.93</v>
      </c>
      <c r="R71" s="15"/>
      <c r="S71" s="15"/>
      <c r="T71" s="15"/>
      <c r="U71" s="15"/>
      <c r="W71" s="15">
        <v>1238.44</v>
      </c>
      <c r="X71" s="15"/>
    </row>
    <row r="72" spans="2:24" ht="10.5" customHeight="1" x14ac:dyDescent="0.25">
      <c r="B72" s="10" t="s">
        <v>122</v>
      </c>
      <c r="C72" s="10"/>
      <c r="D72" s="10"/>
      <c r="E72" s="13" t="s">
        <v>123</v>
      </c>
      <c r="F72" s="13"/>
      <c r="G72" s="13"/>
      <c r="H72" s="13"/>
      <c r="I72" s="13"/>
      <c r="K72" s="5" t="s">
        <v>39</v>
      </c>
      <c r="M72" s="14">
        <v>1.2495000000000001</v>
      </c>
      <c r="N72" s="14"/>
      <c r="O72" s="14"/>
      <c r="Q72" s="15">
        <v>89.83</v>
      </c>
      <c r="R72" s="15"/>
      <c r="S72" s="15"/>
      <c r="T72" s="15"/>
      <c r="U72" s="15"/>
      <c r="W72" s="15">
        <v>112.24000000000001</v>
      </c>
      <c r="X72" s="15"/>
    </row>
    <row r="73" spans="2:24" ht="10.5" customHeight="1" x14ac:dyDescent="0.25">
      <c r="B73" s="10" t="s">
        <v>124</v>
      </c>
      <c r="C73" s="10"/>
      <c r="D73" s="10"/>
      <c r="E73" s="13" t="s">
        <v>125</v>
      </c>
      <c r="F73" s="13"/>
      <c r="G73" s="13"/>
      <c r="H73" s="13"/>
      <c r="I73" s="13"/>
      <c r="K73" s="5" t="s">
        <v>77</v>
      </c>
      <c r="M73" s="14">
        <v>25</v>
      </c>
      <c r="N73" s="14"/>
      <c r="O73" s="14"/>
      <c r="Q73" s="15">
        <v>44.83</v>
      </c>
      <c r="R73" s="15"/>
      <c r="S73" s="15"/>
      <c r="T73" s="15"/>
      <c r="U73" s="15"/>
      <c r="W73" s="15">
        <v>1120.75</v>
      </c>
      <c r="X73" s="15"/>
    </row>
    <row r="74" spans="2:24" ht="10.5" customHeight="1" x14ac:dyDescent="0.25">
      <c r="B74" s="10" t="s">
        <v>126</v>
      </c>
      <c r="C74" s="10"/>
      <c r="D74" s="10"/>
      <c r="E74" s="13" t="s">
        <v>127</v>
      </c>
      <c r="F74" s="13"/>
      <c r="G74" s="13"/>
      <c r="H74" s="13"/>
      <c r="I74" s="13"/>
      <c r="K74" s="5" t="s">
        <v>30</v>
      </c>
      <c r="M74" s="14">
        <v>6</v>
      </c>
      <c r="N74" s="14"/>
      <c r="O74" s="14"/>
      <c r="Q74" s="15">
        <v>120</v>
      </c>
      <c r="R74" s="15"/>
      <c r="S74" s="15"/>
      <c r="T74" s="15"/>
      <c r="U74" s="15"/>
      <c r="W74" s="15">
        <v>720</v>
      </c>
      <c r="X74" s="15"/>
    </row>
    <row r="75" spans="2:24" ht="10.5" customHeight="1" x14ac:dyDescent="0.25">
      <c r="B75" s="10" t="s">
        <v>128</v>
      </c>
      <c r="C75" s="10"/>
      <c r="D75" s="10"/>
      <c r="E75" s="13" t="s">
        <v>129</v>
      </c>
      <c r="F75" s="13"/>
      <c r="G75" s="13"/>
      <c r="H75" s="13"/>
      <c r="I75" s="13"/>
      <c r="K75" s="5" t="s">
        <v>30</v>
      </c>
      <c r="M75" s="14">
        <v>0.19170000000000001</v>
      </c>
      <c r="N75" s="14"/>
      <c r="O75" s="14"/>
      <c r="Q75" s="15">
        <v>169.41</v>
      </c>
      <c r="R75" s="15"/>
      <c r="S75" s="15"/>
      <c r="T75" s="15"/>
      <c r="U75" s="15"/>
      <c r="W75" s="15">
        <v>32.480000000000004</v>
      </c>
      <c r="X75" s="15"/>
    </row>
    <row r="76" spans="2:24" ht="10.5" customHeight="1" x14ac:dyDescent="0.25">
      <c r="B76" s="10" t="s">
        <v>130</v>
      </c>
      <c r="C76" s="10"/>
      <c r="D76" s="10"/>
      <c r="E76" s="13" t="s">
        <v>131</v>
      </c>
      <c r="F76" s="13"/>
      <c r="G76" s="13"/>
      <c r="H76" s="13"/>
      <c r="I76" s="13"/>
      <c r="K76" s="5" t="s">
        <v>30</v>
      </c>
      <c r="M76" s="14">
        <v>3</v>
      </c>
      <c r="N76" s="14"/>
      <c r="O76" s="14"/>
      <c r="Q76" s="15">
        <v>575</v>
      </c>
      <c r="R76" s="15"/>
      <c r="S76" s="15"/>
      <c r="T76" s="15"/>
      <c r="U76" s="15"/>
      <c r="W76" s="15">
        <v>1725</v>
      </c>
      <c r="X76" s="15"/>
    </row>
    <row r="77" spans="2:24" ht="10.5" customHeight="1" x14ac:dyDescent="0.25">
      <c r="B77" s="10" t="s">
        <v>132</v>
      </c>
      <c r="C77" s="10"/>
      <c r="D77" s="10"/>
      <c r="E77" s="13" t="s">
        <v>133</v>
      </c>
      <c r="F77" s="13"/>
      <c r="G77" s="13"/>
      <c r="H77" s="13"/>
      <c r="I77" s="13"/>
      <c r="K77" s="5" t="s">
        <v>30</v>
      </c>
      <c r="M77" s="14">
        <v>10</v>
      </c>
      <c r="N77" s="14"/>
      <c r="O77" s="14"/>
      <c r="Q77" s="15">
        <v>194.83</v>
      </c>
      <c r="R77" s="15"/>
      <c r="S77" s="15"/>
      <c r="T77" s="15"/>
      <c r="U77" s="15"/>
      <c r="W77" s="15">
        <v>1948.3</v>
      </c>
      <c r="X77" s="15"/>
    </row>
    <row r="78" spans="2:24" ht="10.5" customHeight="1" x14ac:dyDescent="0.25">
      <c r="B78" s="10" t="s">
        <v>134</v>
      </c>
      <c r="C78" s="10"/>
      <c r="D78" s="10"/>
      <c r="E78" s="13" t="s">
        <v>135</v>
      </c>
      <c r="F78" s="13"/>
      <c r="G78" s="13"/>
      <c r="H78" s="13"/>
      <c r="I78" s="13"/>
      <c r="K78" s="5" t="s">
        <v>30</v>
      </c>
      <c r="M78" s="14">
        <v>182</v>
      </c>
      <c r="N78" s="14"/>
      <c r="O78" s="14"/>
      <c r="Q78" s="15">
        <v>42.37</v>
      </c>
      <c r="R78" s="15"/>
      <c r="S78" s="15"/>
      <c r="T78" s="15"/>
      <c r="U78" s="15"/>
      <c r="W78" s="15">
        <v>7711.34</v>
      </c>
      <c r="X78" s="15"/>
    </row>
    <row r="79" spans="2:24" ht="10.5" customHeight="1" x14ac:dyDescent="0.25">
      <c r="B79" s="10" t="s">
        <v>136</v>
      </c>
      <c r="C79" s="10"/>
      <c r="D79" s="10"/>
      <c r="E79" s="13" t="s">
        <v>137</v>
      </c>
      <c r="F79" s="13"/>
      <c r="G79" s="13"/>
      <c r="H79" s="13"/>
      <c r="I79" s="13"/>
      <c r="K79" s="5" t="s">
        <v>30</v>
      </c>
      <c r="M79" s="14">
        <v>144</v>
      </c>
      <c r="N79" s="14"/>
      <c r="O79" s="14"/>
      <c r="Q79" s="15">
        <v>42.37</v>
      </c>
      <c r="R79" s="15"/>
      <c r="S79" s="15"/>
      <c r="T79" s="15"/>
      <c r="U79" s="15"/>
      <c r="W79" s="15">
        <v>6101.28</v>
      </c>
      <c r="X79" s="15"/>
    </row>
    <row r="80" spans="2:24" ht="10.5" customHeight="1" x14ac:dyDescent="0.25">
      <c r="B80" s="10" t="s">
        <v>138</v>
      </c>
      <c r="C80" s="10"/>
      <c r="D80" s="10"/>
      <c r="E80" s="13" t="s">
        <v>139</v>
      </c>
      <c r="F80" s="13"/>
      <c r="G80" s="13"/>
      <c r="H80" s="13"/>
      <c r="I80" s="13"/>
      <c r="K80" s="5" t="s">
        <v>30</v>
      </c>
      <c r="M80" s="14">
        <v>6</v>
      </c>
      <c r="N80" s="14"/>
      <c r="O80" s="14"/>
      <c r="Q80" s="15">
        <v>84.75</v>
      </c>
      <c r="R80" s="15"/>
      <c r="S80" s="15"/>
      <c r="T80" s="15"/>
      <c r="U80" s="15"/>
      <c r="W80" s="15">
        <v>508.5</v>
      </c>
      <c r="X80" s="15"/>
    </row>
    <row r="81" spans="2:24" ht="10.5" customHeight="1" x14ac:dyDescent="0.25">
      <c r="B81" s="10" t="s">
        <v>140</v>
      </c>
      <c r="C81" s="10"/>
      <c r="D81" s="10"/>
      <c r="E81" s="13" t="s">
        <v>141</v>
      </c>
      <c r="F81" s="13"/>
      <c r="G81" s="13"/>
      <c r="H81" s="13"/>
      <c r="I81" s="13"/>
      <c r="K81" s="5" t="s">
        <v>30</v>
      </c>
      <c r="M81" s="14">
        <v>10</v>
      </c>
      <c r="N81" s="14"/>
      <c r="O81" s="14"/>
      <c r="Q81" s="15">
        <v>67.72</v>
      </c>
      <c r="R81" s="15"/>
      <c r="S81" s="15"/>
      <c r="T81" s="15"/>
      <c r="U81" s="15"/>
      <c r="W81" s="15">
        <v>677.2</v>
      </c>
      <c r="X81" s="15"/>
    </row>
    <row r="82" spans="2:24" ht="10.5" customHeight="1" x14ac:dyDescent="0.25">
      <c r="B82" s="10" t="s">
        <v>142</v>
      </c>
      <c r="C82" s="10"/>
      <c r="D82" s="10"/>
      <c r="E82" s="13" t="s">
        <v>143</v>
      </c>
      <c r="F82" s="13"/>
      <c r="G82" s="13"/>
      <c r="H82" s="13"/>
      <c r="I82" s="13"/>
      <c r="K82" s="5" t="s">
        <v>46</v>
      </c>
      <c r="M82" s="14">
        <v>1714.65</v>
      </c>
      <c r="N82" s="14"/>
      <c r="O82" s="14"/>
      <c r="Q82" s="15">
        <v>30.080000000000002</v>
      </c>
      <c r="R82" s="15"/>
      <c r="S82" s="15"/>
      <c r="T82" s="15"/>
      <c r="U82" s="15"/>
      <c r="W82" s="15">
        <v>51576.67</v>
      </c>
      <c r="X82" s="15"/>
    </row>
    <row r="83" spans="2:24" ht="10.5" customHeight="1" x14ac:dyDescent="0.25">
      <c r="B83" s="10" t="s">
        <v>144</v>
      </c>
      <c r="C83" s="10"/>
      <c r="D83" s="10"/>
      <c r="E83" s="13" t="s">
        <v>145</v>
      </c>
      <c r="F83" s="13"/>
      <c r="G83" s="13"/>
      <c r="H83" s="13"/>
      <c r="I83" s="13"/>
      <c r="K83" s="5" t="s">
        <v>46</v>
      </c>
      <c r="M83" s="14">
        <v>1596.6182999999999</v>
      </c>
      <c r="N83" s="14"/>
      <c r="O83" s="14"/>
      <c r="Q83" s="15">
        <v>5</v>
      </c>
      <c r="R83" s="15"/>
      <c r="S83" s="15"/>
      <c r="T83" s="15"/>
      <c r="U83" s="15"/>
      <c r="W83" s="15">
        <v>7983.09</v>
      </c>
      <c r="X83" s="15"/>
    </row>
    <row r="84" spans="2:24" ht="10.5" customHeight="1" x14ac:dyDescent="0.25">
      <c r="B84" s="10" t="s">
        <v>146</v>
      </c>
      <c r="C84" s="10"/>
      <c r="D84" s="10"/>
      <c r="E84" s="13" t="s">
        <v>147</v>
      </c>
      <c r="F84" s="13"/>
      <c r="G84" s="13"/>
      <c r="H84" s="13"/>
      <c r="I84" s="13"/>
      <c r="K84" s="5" t="s">
        <v>30</v>
      </c>
      <c r="M84" s="14">
        <v>1</v>
      </c>
      <c r="N84" s="14"/>
      <c r="O84" s="14"/>
      <c r="Q84" s="15">
        <v>84.75</v>
      </c>
      <c r="R84" s="15"/>
      <c r="S84" s="15"/>
      <c r="T84" s="15"/>
      <c r="U84" s="15"/>
      <c r="W84" s="15">
        <v>84.75</v>
      </c>
      <c r="X84" s="15"/>
    </row>
    <row r="85" spans="2:24" ht="10.5" customHeight="1" x14ac:dyDescent="0.25">
      <c r="B85" s="10" t="s">
        <v>148</v>
      </c>
      <c r="C85" s="10"/>
      <c r="D85" s="10"/>
      <c r="E85" s="13" t="s">
        <v>149</v>
      </c>
      <c r="F85" s="13"/>
      <c r="G85" s="13"/>
      <c r="H85" s="13"/>
      <c r="I85" s="13"/>
      <c r="K85" s="5" t="s">
        <v>30</v>
      </c>
      <c r="M85" s="14">
        <v>20</v>
      </c>
      <c r="N85" s="14"/>
      <c r="O85" s="14"/>
      <c r="Q85" s="15">
        <v>450</v>
      </c>
      <c r="R85" s="15"/>
      <c r="S85" s="15"/>
      <c r="T85" s="15"/>
      <c r="U85" s="15"/>
      <c r="W85" s="15">
        <v>9000</v>
      </c>
      <c r="X85" s="15"/>
    </row>
    <row r="86" spans="2:24" ht="9.75" customHeight="1" x14ac:dyDescent="0.25">
      <c r="B86" s="10" t="s">
        <v>150</v>
      </c>
      <c r="C86" s="10"/>
      <c r="D86" s="10"/>
      <c r="E86" s="8" t="s">
        <v>151</v>
      </c>
      <c r="F86" s="8"/>
      <c r="G86" s="8"/>
      <c r="H86" s="8"/>
      <c r="I86" s="8"/>
      <c r="K86" s="5" t="s">
        <v>30</v>
      </c>
      <c r="M86" s="14">
        <v>26</v>
      </c>
      <c r="N86" s="14"/>
      <c r="O86" s="14"/>
      <c r="Q86" s="15">
        <v>101.7</v>
      </c>
      <c r="R86" s="15"/>
      <c r="S86" s="15"/>
      <c r="T86" s="15"/>
      <c r="U86" s="15"/>
      <c r="W86" s="15">
        <v>2644.2000000000003</v>
      </c>
      <c r="X86" s="15"/>
    </row>
    <row r="87" spans="2:24" ht="11.25" customHeight="1" x14ac:dyDescent="0.25">
      <c r="E87" s="8"/>
      <c r="F87" s="8"/>
      <c r="G87" s="8"/>
      <c r="H87" s="8"/>
      <c r="I87" s="8"/>
    </row>
    <row r="88" spans="2:24" ht="10.5" customHeight="1" x14ac:dyDescent="0.25">
      <c r="B88" s="10" t="s">
        <v>152</v>
      </c>
      <c r="C88" s="10"/>
      <c r="D88" s="10"/>
      <c r="E88" s="13" t="s">
        <v>153</v>
      </c>
      <c r="F88" s="13"/>
      <c r="G88" s="13"/>
      <c r="H88" s="13"/>
      <c r="I88" s="13"/>
      <c r="K88" s="5" t="s">
        <v>106</v>
      </c>
      <c r="M88" s="14">
        <v>6</v>
      </c>
      <c r="N88" s="14"/>
      <c r="O88" s="14"/>
      <c r="Q88" s="15">
        <v>24.39</v>
      </c>
      <c r="R88" s="15"/>
      <c r="S88" s="15"/>
      <c r="T88" s="15"/>
      <c r="U88" s="15"/>
      <c r="W88" s="15">
        <v>146.34</v>
      </c>
      <c r="X88" s="15"/>
    </row>
    <row r="89" spans="2:24" ht="10.5" customHeight="1" x14ac:dyDescent="0.25">
      <c r="B89" s="10" t="s">
        <v>154</v>
      </c>
      <c r="C89" s="10"/>
      <c r="D89" s="10"/>
      <c r="E89" s="13" t="s">
        <v>155</v>
      </c>
      <c r="F89" s="13"/>
      <c r="G89" s="13"/>
      <c r="H89" s="13"/>
      <c r="I89" s="13"/>
      <c r="K89" s="5" t="s">
        <v>106</v>
      </c>
      <c r="M89" s="14">
        <v>1</v>
      </c>
      <c r="N89" s="14"/>
      <c r="O89" s="14"/>
      <c r="Q89" s="15">
        <v>7.43</v>
      </c>
      <c r="R89" s="15"/>
      <c r="S89" s="15"/>
      <c r="T89" s="15"/>
      <c r="U89" s="15"/>
      <c r="W89" s="15">
        <v>7.43</v>
      </c>
      <c r="X89" s="15"/>
    </row>
    <row r="90" spans="2:24" ht="10.5" customHeight="1" x14ac:dyDescent="0.25">
      <c r="B90" s="10" t="s">
        <v>156</v>
      </c>
      <c r="C90" s="10"/>
      <c r="D90" s="10"/>
      <c r="E90" s="13" t="s">
        <v>157</v>
      </c>
      <c r="F90" s="13"/>
      <c r="G90" s="13"/>
      <c r="H90" s="13"/>
      <c r="I90" s="13"/>
      <c r="K90" s="5" t="s">
        <v>30</v>
      </c>
      <c r="M90" s="14">
        <v>20</v>
      </c>
      <c r="N90" s="14"/>
      <c r="O90" s="14"/>
      <c r="Q90" s="15">
        <v>4.1500000000000004</v>
      </c>
      <c r="R90" s="15"/>
      <c r="S90" s="15"/>
      <c r="T90" s="15"/>
      <c r="U90" s="15"/>
      <c r="W90" s="15">
        <v>83</v>
      </c>
      <c r="X90" s="15"/>
    </row>
    <row r="91" spans="2:24" ht="10.5" customHeight="1" x14ac:dyDescent="0.25">
      <c r="B91" s="10" t="s">
        <v>158</v>
      </c>
      <c r="C91" s="10"/>
      <c r="D91" s="10"/>
      <c r="E91" s="13" t="s">
        <v>159</v>
      </c>
      <c r="F91" s="13"/>
      <c r="G91" s="13"/>
      <c r="H91" s="13"/>
      <c r="I91" s="13"/>
      <c r="K91" s="5" t="s">
        <v>30</v>
      </c>
      <c r="M91" s="14">
        <v>20</v>
      </c>
      <c r="N91" s="14"/>
      <c r="O91" s="14"/>
      <c r="Q91" s="15">
        <v>3.31</v>
      </c>
      <c r="R91" s="15"/>
      <c r="S91" s="15"/>
      <c r="T91" s="15"/>
      <c r="U91" s="15"/>
      <c r="W91" s="15">
        <v>66.2</v>
      </c>
      <c r="X91" s="15"/>
    </row>
    <row r="92" spans="2:24" ht="10.5" customHeight="1" x14ac:dyDescent="0.25">
      <c r="B92" s="10" t="s">
        <v>160</v>
      </c>
      <c r="C92" s="10"/>
      <c r="D92" s="10"/>
      <c r="E92" s="13" t="s">
        <v>161</v>
      </c>
      <c r="F92" s="13"/>
      <c r="G92" s="13"/>
      <c r="H92" s="13"/>
      <c r="I92" s="13"/>
      <c r="K92" s="5" t="s">
        <v>30</v>
      </c>
      <c r="M92" s="14">
        <v>40</v>
      </c>
      <c r="N92" s="14"/>
      <c r="O92" s="14"/>
      <c r="Q92" s="15">
        <v>3.31</v>
      </c>
      <c r="R92" s="15"/>
      <c r="S92" s="15"/>
      <c r="T92" s="15"/>
      <c r="U92" s="15"/>
      <c r="W92" s="15">
        <v>132.4</v>
      </c>
      <c r="X92" s="15"/>
    </row>
    <row r="93" spans="2:24" ht="10.5" customHeight="1" x14ac:dyDescent="0.25">
      <c r="B93" s="10" t="s">
        <v>162</v>
      </c>
      <c r="C93" s="10"/>
      <c r="D93" s="10"/>
      <c r="E93" s="13" t="s">
        <v>163</v>
      </c>
      <c r="F93" s="13"/>
      <c r="G93" s="13"/>
      <c r="H93" s="13"/>
      <c r="I93" s="13"/>
      <c r="K93" s="5" t="s">
        <v>164</v>
      </c>
      <c r="M93" s="14">
        <v>40</v>
      </c>
      <c r="N93" s="14"/>
      <c r="O93" s="14"/>
      <c r="Q93" s="15">
        <v>16.86</v>
      </c>
      <c r="R93" s="15"/>
      <c r="S93" s="15"/>
      <c r="T93" s="15"/>
      <c r="U93" s="15"/>
      <c r="W93" s="15">
        <v>674.4</v>
      </c>
      <c r="X93" s="15"/>
    </row>
    <row r="94" spans="2:24" ht="10.5" customHeight="1" x14ac:dyDescent="0.25">
      <c r="B94" s="10" t="s">
        <v>165</v>
      </c>
      <c r="C94" s="10"/>
      <c r="D94" s="10"/>
      <c r="E94" s="13" t="s">
        <v>166</v>
      </c>
      <c r="F94" s="13"/>
      <c r="G94" s="13"/>
      <c r="H94" s="13"/>
      <c r="I94" s="13"/>
      <c r="K94" s="5" t="s">
        <v>164</v>
      </c>
      <c r="M94" s="14">
        <v>40</v>
      </c>
      <c r="N94" s="14"/>
      <c r="O94" s="14"/>
      <c r="Q94" s="15">
        <v>9.24</v>
      </c>
      <c r="R94" s="15"/>
      <c r="S94" s="15"/>
      <c r="T94" s="15"/>
      <c r="U94" s="15"/>
      <c r="W94" s="15">
        <v>369.6</v>
      </c>
      <c r="X94" s="15"/>
    </row>
    <row r="95" spans="2:24" ht="10.5" customHeight="1" x14ac:dyDescent="0.25">
      <c r="B95" s="10" t="s">
        <v>167</v>
      </c>
      <c r="C95" s="10"/>
      <c r="D95" s="10"/>
      <c r="E95" s="13" t="s">
        <v>168</v>
      </c>
      <c r="F95" s="13"/>
      <c r="G95" s="13"/>
      <c r="H95" s="13"/>
      <c r="I95" s="13"/>
      <c r="K95" s="5" t="s">
        <v>30</v>
      </c>
      <c r="M95" s="14">
        <v>40</v>
      </c>
      <c r="N95" s="14"/>
      <c r="O95" s="14"/>
      <c r="Q95" s="15">
        <v>35.51</v>
      </c>
      <c r="R95" s="15"/>
      <c r="S95" s="15"/>
      <c r="T95" s="15"/>
      <c r="U95" s="15"/>
      <c r="W95" s="15">
        <v>1420.4</v>
      </c>
      <c r="X95" s="15"/>
    </row>
    <row r="96" spans="2:24" ht="10.5" customHeight="1" x14ac:dyDescent="0.25">
      <c r="B96" s="10" t="s">
        <v>169</v>
      </c>
      <c r="C96" s="10"/>
      <c r="D96" s="10"/>
      <c r="E96" s="13" t="s">
        <v>170</v>
      </c>
      <c r="F96" s="13"/>
      <c r="G96" s="13"/>
      <c r="H96" s="13"/>
      <c r="I96" s="13"/>
      <c r="K96" s="5" t="s">
        <v>30</v>
      </c>
      <c r="M96" s="14">
        <v>40</v>
      </c>
      <c r="N96" s="14"/>
      <c r="O96" s="14"/>
      <c r="Q96" s="15">
        <v>17.53</v>
      </c>
      <c r="R96" s="15"/>
      <c r="S96" s="15"/>
      <c r="T96" s="15"/>
      <c r="U96" s="15"/>
      <c r="W96" s="15">
        <v>701.2</v>
      </c>
      <c r="X96" s="15"/>
    </row>
    <row r="97" spans="2:24" ht="10.5" customHeight="1" x14ac:dyDescent="0.25">
      <c r="B97" s="10" t="s">
        <v>171</v>
      </c>
      <c r="C97" s="10"/>
      <c r="D97" s="10"/>
      <c r="E97" s="13" t="s">
        <v>172</v>
      </c>
      <c r="F97" s="13"/>
      <c r="G97" s="13"/>
      <c r="H97" s="13"/>
      <c r="I97" s="13"/>
      <c r="K97" s="5" t="s">
        <v>30</v>
      </c>
      <c r="M97" s="14">
        <v>40</v>
      </c>
      <c r="N97" s="14"/>
      <c r="O97" s="14"/>
      <c r="Q97" s="15">
        <v>15.17</v>
      </c>
      <c r="R97" s="15"/>
      <c r="S97" s="15"/>
      <c r="T97" s="15"/>
      <c r="U97" s="15"/>
      <c r="W97" s="15">
        <v>606.80000000000007</v>
      </c>
      <c r="X97" s="15"/>
    </row>
    <row r="98" spans="2:24" ht="10.5" customHeight="1" x14ac:dyDescent="0.25">
      <c r="B98" s="10" t="s">
        <v>173</v>
      </c>
      <c r="C98" s="10"/>
      <c r="D98" s="10"/>
      <c r="E98" s="13" t="s">
        <v>174</v>
      </c>
      <c r="F98" s="13"/>
      <c r="G98" s="13"/>
      <c r="H98" s="13"/>
      <c r="I98" s="13"/>
      <c r="K98" s="5" t="s">
        <v>164</v>
      </c>
      <c r="M98" s="14">
        <v>40</v>
      </c>
      <c r="N98" s="14"/>
      <c r="O98" s="14"/>
      <c r="Q98" s="15">
        <v>75.34</v>
      </c>
      <c r="R98" s="15"/>
      <c r="S98" s="15"/>
      <c r="T98" s="15"/>
      <c r="U98" s="15"/>
      <c r="W98" s="15">
        <v>3013.6</v>
      </c>
      <c r="X98" s="15"/>
    </row>
    <row r="99" spans="2:24" ht="10.5" customHeight="1" x14ac:dyDescent="0.25">
      <c r="B99" s="10" t="s">
        <v>175</v>
      </c>
      <c r="C99" s="10"/>
      <c r="D99" s="10"/>
      <c r="E99" s="13" t="s">
        <v>176</v>
      </c>
      <c r="F99" s="13"/>
      <c r="G99" s="13"/>
      <c r="H99" s="13"/>
      <c r="I99" s="13"/>
      <c r="K99" s="5" t="s">
        <v>30</v>
      </c>
      <c r="M99" s="14">
        <v>6</v>
      </c>
      <c r="N99" s="14"/>
      <c r="O99" s="14"/>
      <c r="Q99" s="15">
        <v>76.19</v>
      </c>
      <c r="R99" s="15"/>
      <c r="S99" s="15"/>
      <c r="T99" s="15"/>
      <c r="U99" s="15"/>
      <c r="W99" s="15">
        <v>457.14</v>
      </c>
      <c r="X99" s="15"/>
    </row>
    <row r="100" spans="2:24" ht="10.5" customHeight="1" x14ac:dyDescent="0.25">
      <c r="B100" s="10" t="s">
        <v>177</v>
      </c>
      <c r="C100" s="10"/>
      <c r="D100" s="10"/>
      <c r="E100" s="13" t="s">
        <v>178</v>
      </c>
      <c r="F100" s="13"/>
      <c r="G100" s="13"/>
      <c r="H100" s="13"/>
      <c r="I100" s="13"/>
      <c r="K100" s="5" t="s">
        <v>30</v>
      </c>
      <c r="M100" s="14">
        <v>6</v>
      </c>
      <c r="N100" s="14"/>
      <c r="O100" s="14"/>
      <c r="Q100" s="15">
        <v>116.86</v>
      </c>
      <c r="R100" s="15"/>
      <c r="S100" s="15"/>
      <c r="T100" s="15"/>
      <c r="U100" s="15"/>
      <c r="W100" s="15">
        <v>701.16</v>
      </c>
      <c r="X100" s="15"/>
    </row>
    <row r="101" spans="2:24" ht="10.5" customHeight="1" x14ac:dyDescent="0.25">
      <c r="B101" s="10" t="s">
        <v>179</v>
      </c>
      <c r="C101" s="10"/>
      <c r="D101" s="10"/>
      <c r="E101" s="13" t="s">
        <v>180</v>
      </c>
      <c r="F101" s="13"/>
      <c r="G101" s="13"/>
      <c r="H101" s="13"/>
      <c r="I101" s="13"/>
      <c r="K101" s="5" t="s">
        <v>30</v>
      </c>
      <c r="M101" s="14">
        <v>3</v>
      </c>
      <c r="N101" s="14"/>
      <c r="O101" s="14"/>
      <c r="Q101" s="15">
        <v>254.24</v>
      </c>
      <c r="R101" s="15"/>
      <c r="S101" s="15"/>
      <c r="T101" s="15"/>
      <c r="U101" s="15"/>
      <c r="W101" s="15">
        <v>762.72</v>
      </c>
      <c r="X101" s="15"/>
    </row>
    <row r="102" spans="2:24" ht="9.75" customHeight="1" x14ac:dyDescent="0.25">
      <c r="B102" s="10" t="s">
        <v>181</v>
      </c>
      <c r="C102" s="10"/>
      <c r="D102" s="10"/>
      <c r="E102" s="8" t="s">
        <v>182</v>
      </c>
      <c r="F102" s="8"/>
      <c r="G102" s="8"/>
      <c r="H102" s="8"/>
      <c r="I102" s="8"/>
      <c r="K102" s="5" t="s">
        <v>30</v>
      </c>
      <c r="M102" s="14">
        <v>20</v>
      </c>
      <c r="N102" s="14"/>
      <c r="O102" s="14"/>
      <c r="Q102" s="15">
        <v>33.81</v>
      </c>
      <c r="R102" s="15"/>
      <c r="S102" s="15"/>
      <c r="T102" s="15"/>
      <c r="U102" s="15"/>
      <c r="W102" s="15">
        <v>676.2</v>
      </c>
      <c r="X102" s="15"/>
    </row>
    <row r="103" spans="2:24" ht="11.25" customHeight="1" x14ac:dyDescent="0.25">
      <c r="E103" s="8"/>
      <c r="F103" s="8"/>
      <c r="G103" s="8"/>
      <c r="H103" s="8"/>
      <c r="I103" s="8"/>
    </row>
    <row r="104" spans="2:24" ht="9.75" customHeight="1" x14ac:dyDescent="0.25">
      <c r="B104" s="10" t="s">
        <v>183</v>
      </c>
      <c r="C104" s="10"/>
      <c r="D104" s="10"/>
      <c r="E104" s="8" t="s">
        <v>184</v>
      </c>
      <c r="F104" s="8"/>
      <c r="G104" s="8"/>
      <c r="H104" s="8"/>
      <c r="I104" s="8"/>
      <c r="K104" s="5" t="s">
        <v>30</v>
      </c>
      <c r="M104" s="14">
        <v>39</v>
      </c>
      <c r="N104" s="14"/>
      <c r="O104" s="14"/>
      <c r="Q104" s="15">
        <v>6.7</v>
      </c>
      <c r="R104" s="15"/>
      <c r="S104" s="15"/>
      <c r="T104" s="15"/>
      <c r="U104" s="15"/>
      <c r="W104" s="15">
        <v>261.3</v>
      </c>
      <c r="X104" s="15"/>
    </row>
    <row r="105" spans="2:24" ht="11.25" customHeight="1" x14ac:dyDescent="0.25">
      <c r="E105" s="8"/>
      <c r="F105" s="8"/>
      <c r="G105" s="8"/>
      <c r="H105" s="8"/>
      <c r="I105" s="8"/>
    </row>
    <row r="106" spans="2:24" ht="10.5" customHeight="1" x14ac:dyDescent="0.25">
      <c r="B106" s="10" t="s">
        <v>185</v>
      </c>
      <c r="C106" s="10"/>
      <c r="D106" s="10"/>
      <c r="E106" s="13" t="s">
        <v>186</v>
      </c>
      <c r="F106" s="13"/>
      <c r="G106" s="13"/>
      <c r="H106" s="13"/>
      <c r="I106" s="13"/>
      <c r="K106" s="5" t="s">
        <v>30</v>
      </c>
      <c r="M106" s="14">
        <v>15</v>
      </c>
      <c r="N106" s="14"/>
      <c r="O106" s="14"/>
      <c r="Q106" s="15">
        <v>72</v>
      </c>
      <c r="R106" s="15"/>
      <c r="S106" s="15"/>
      <c r="T106" s="15"/>
      <c r="U106" s="15"/>
      <c r="W106" s="15">
        <v>1080</v>
      </c>
      <c r="X106" s="15"/>
    </row>
    <row r="107" spans="2:24" ht="10.5" customHeight="1" x14ac:dyDescent="0.25">
      <c r="B107" s="10" t="s">
        <v>187</v>
      </c>
      <c r="C107" s="10"/>
      <c r="D107" s="10"/>
      <c r="E107" s="13" t="s">
        <v>188</v>
      </c>
      <c r="F107" s="13"/>
      <c r="G107" s="13"/>
      <c r="H107" s="13"/>
      <c r="I107" s="13"/>
      <c r="K107" s="5" t="s">
        <v>30</v>
      </c>
      <c r="M107" s="14">
        <v>9</v>
      </c>
      <c r="N107" s="14"/>
      <c r="O107" s="14"/>
      <c r="Q107" s="15">
        <v>185.38</v>
      </c>
      <c r="R107" s="15"/>
      <c r="S107" s="15"/>
      <c r="T107" s="15"/>
      <c r="U107" s="15"/>
      <c r="W107" s="15">
        <v>1668.42</v>
      </c>
      <c r="X107" s="15"/>
    </row>
    <row r="108" spans="2:24" ht="10.5" customHeight="1" x14ac:dyDescent="0.25">
      <c r="B108" s="10" t="s">
        <v>189</v>
      </c>
      <c r="C108" s="10"/>
      <c r="D108" s="10"/>
      <c r="E108" s="13" t="s">
        <v>190</v>
      </c>
      <c r="F108" s="13"/>
      <c r="G108" s="13"/>
      <c r="H108" s="13"/>
      <c r="I108" s="13"/>
      <c r="K108" s="5" t="s">
        <v>30</v>
      </c>
      <c r="M108" s="14">
        <v>24</v>
      </c>
      <c r="N108" s="14"/>
      <c r="O108" s="14"/>
      <c r="Q108" s="15">
        <v>21.19</v>
      </c>
      <c r="R108" s="15"/>
      <c r="S108" s="15"/>
      <c r="T108" s="15"/>
      <c r="U108" s="15"/>
      <c r="W108" s="15">
        <v>508.56</v>
      </c>
      <c r="X108" s="15"/>
    </row>
    <row r="109" spans="2:24" ht="10.5" customHeight="1" x14ac:dyDescent="0.25">
      <c r="B109" s="10" t="s">
        <v>191</v>
      </c>
      <c r="C109" s="10"/>
      <c r="D109" s="10"/>
      <c r="E109" s="13" t="s">
        <v>192</v>
      </c>
      <c r="F109" s="13"/>
      <c r="G109" s="13"/>
      <c r="H109" s="13"/>
      <c r="I109" s="13"/>
      <c r="K109" s="5" t="s">
        <v>164</v>
      </c>
      <c r="M109" s="14">
        <v>2</v>
      </c>
      <c r="N109" s="14"/>
      <c r="O109" s="14"/>
      <c r="Q109" s="15">
        <v>36.36</v>
      </c>
      <c r="R109" s="15"/>
      <c r="S109" s="15"/>
      <c r="T109" s="15"/>
      <c r="U109" s="15"/>
      <c r="W109" s="15">
        <v>72.72</v>
      </c>
      <c r="X109" s="15"/>
    </row>
    <row r="110" spans="2:24" ht="10.5" customHeight="1" x14ac:dyDescent="0.25">
      <c r="B110" s="10" t="s">
        <v>193</v>
      </c>
      <c r="C110" s="10"/>
      <c r="D110" s="10"/>
      <c r="E110" s="13" t="s">
        <v>194</v>
      </c>
      <c r="F110" s="13"/>
      <c r="G110" s="13"/>
      <c r="H110" s="13"/>
      <c r="I110" s="13"/>
      <c r="K110" s="5" t="s">
        <v>30</v>
      </c>
      <c r="M110" s="14">
        <v>5</v>
      </c>
      <c r="N110" s="14"/>
      <c r="O110" s="14"/>
      <c r="Q110" s="15">
        <v>185.38</v>
      </c>
      <c r="R110" s="15"/>
      <c r="S110" s="15"/>
      <c r="T110" s="15"/>
      <c r="U110" s="15"/>
      <c r="W110" s="15">
        <v>926.9</v>
      </c>
      <c r="X110" s="15"/>
    </row>
    <row r="111" spans="2:24" ht="10.5" customHeight="1" x14ac:dyDescent="0.25">
      <c r="B111" s="10" t="s">
        <v>195</v>
      </c>
      <c r="C111" s="10"/>
      <c r="D111" s="10"/>
      <c r="E111" s="13" t="s">
        <v>196</v>
      </c>
      <c r="F111" s="13"/>
      <c r="G111" s="13"/>
      <c r="H111" s="13"/>
      <c r="I111" s="13"/>
      <c r="K111" s="5" t="s">
        <v>30</v>
      </c>
      <c r="M111" s="14">
        <v>2</v>
      </c>
      <c r="N111" s="14"/>
      <c r="O111" s="14"/>
      <c r="Q111" s="15">
        <v>500</v>
      </c>
      <c r="R111" s="15"/>
      <c r="S111" s="15"/>
      <c r="T111" s="15"/>
      <c r="U111" s="15"/>
      <c r="W111" s="15">
        <v>1000</v>
      </c>
      <c r="X111" s="15"/>
    </row>
    <row r="112" spans="2:24" ht="9.75" customHeight="1" x14ac:dyDescent="0.25">
      <c r="B112" s="10" t="s">
        <v>197</v>
      </c>
      <c r="C112" s="10"/>
      <c r="D112" s="10"/>
      <c r="E112" s="8" t="s">
        <v>198</v>
      </c>
      <c r="F112" s="8"/>
      <c r="G112" s="8"/>
      <c r="H112" s="8"/>
      <c r="I112" s="8"/>
      <c r="K112" s="5" t="s">
        <v>30</v>
      </c>
      <c r="M112" s="14">
        <v>160</v>
      </c>
      <c r="N112" s="14"/>
      <c r="O112" s="14"/>
      <c r="Q112" s="15">
        <v>95</v>
      </c>
      <c r="R112" s="15"/>
      <c r="S112" s="15"/>
      <c r="T112" s="15"/>
      <c r="U112" s="15"/>
      <c r="W112" s="15">
        <v>15200</v>
      </c>
      <c r="X112" s="15"/>
    </row>
    <row r="113" spans="2:24" ht="11.25" customHeight="1" x14ac:dyDescent="0.25">
      <c r="E113" s="8"/>
      <c r="F113" s="8"/>
      <c r="G113" s="8"/>
      <c r="H113" s="8"/>
      <c r="I113" s="8"/>
    </row>
    <row r="114" spans="2:24" ht="10.5" customHeight="1" x14ac:dyDescent="0.25">
      <c r="B114" s="10" t="s">
        <v>199</v>
      </c>
      <c r="C114" s="10"/>
      <c r="D114" s="10"/>
      <c r="E114" s="13" t="s">
        <v>200</v>
      </c>
      <c r="F114" s="13"/>
      <c r="G114" s="13"/>
      <c r="H114" s="13"/>
      <c r="I114" s="13"/>
      <c r="K114" s="5" t="s">
        <v>106</v>
      </c>
      <c r="M114" s="14">
        <v>200</v>
      </c>
      <c r="N114" s="14"/>
      <c r="O114" s="14"/>
      <c r="Q114" s="15">
        <v>9.24</v>
      </c>
      <c r="R114" s="15"/>
      <c r="S114" s="15"/>
      <c r="T114" s="15"/>
      <c r="U114" s="15"/>
      <c r="W114" s="15">
        <v>1848</v>
      </c>
      <c r="X114" s="15"/>
    </row>
    <row r="115" spans="2:24" ht="10.5" customHeight="1" x14ac:dyDescent="0.25">
      <c r="B115" s="10" t="s">
        <v>201</v>
      </c>
      <c r="C115" s="10"/>
      <c r="D115" s="10"/>
      <c r="E115" s="13" t="s">
        <v>202</v>
      </c>
      <c r="F115" s="13"/>
      <c r="G115" s="13"/>
      <c r="H115" s="13"/>
      <c r="I115" s="13"/>
      <c r="K115" s="5" t="s">
        <v>30</v>
      </c>
      <c r="M115" s="14">
        <v>20</v>
      </c>
      <c r="N115" s="14"/>
      <c r="O115" s="14"/>
      <c r="Q115" s="15">
        <v>50</v>
      </c>
      <c r="R115" s="15"/>
      <c r="S115" s="15"/>
      <c r="T115" s="15"/>
      <c r="U115" s="15"/>
      <c r="W115" s="15">
        <v>1000</v>
      </c>
      <c r="X115" s="15"/>
    </row>
    <row r="116" spans="2:24" ht="10.5" customHeight="1" x14ac:dyDescent="0.25">
      <c r="B116" s="10" t="s">
        <v>203</v>
      </c>
      <c r="C116" s="10"/>
      <c r="D116" s="10"/>
      <c r="E116" s="13" t="s">
        <v>204</v>
      </c>
      <c r="F116" s="13"/>
      <c r="G116" s="13"/>
      <c r="H116" s="13"/>
      <c r="I116" s="13"/>
      <c r="K116" s="5" t="s">
        <v>30</v>
      </c>
      <c r="M116" s="14">
        <v>1</v>
      </c>
      <c r="N116" s="14"/>
      <c r="O116" s="14"/>
      <c r="Q116" s="15">
        <v>345.6</v>
      </c>
      <c r="R116" s="15"/>
      <c r="S116" s="15"/>
      <c r="T116" s="15"/>
      <c r="U116" s="15"/>
      <c r="W116" s="15">
        <v>345.6</v>
      </c>
      <c r="X116" s="15"/>
    </row>
    <row r="117" spans="2:24" ht="10.5" customHeight="1" x14ac:dyDescent="0.25">
      <c r="B117" s="10" t="s">
        <v>205</v>
      </c>
      <c r="C117" s="10"/>
      <c r="D117" s="10"/>
      <c r="E117" s="13" t="s">
        <v>206</v>
      </c>
      <c r="F117" s="13"/>
      <c r="G117" s="13"/>
      <c r="H117" s="13"/>
      <c r="I117" s="13"/>
      <c r="K117" s="5" t="s">
        <v>30</v>
      </c>
      <c r="M117" s="14">
        <v>1.9199999999999998E-2</v>
      </c>
      <c r="N117" s="14"/>
      <c r="O117" s="14"/>
      <c r="Q117" s="15">
        <v>490.68</v>
      </c>
      <c r="R117" s="15"/>
      <c r="S117" s="15"/>
      <c r="T117" s="15"/>
      <c r="U117" s="15"/>
      <c r="W117" s="15">
        <v>9.42</v>
      </c>
      <c r="X117" s="15"/>
    </row>
    <row r="118" spans="2:24" ht="10.5" customHeight="1" x14ac:dyDescent="0.25">
      <c r="B118" s="10" t="s">
        <v>207</v>
      </c>
      <c r="C118" s="10"/>
      <c r="D118" s="10"/>
      <c r="E118" s="13" t="s">
        <v>208</v>
      </c>
      <c r="F118" s="13"/>
      <c r="G118" s="13"/>
      <c r="H118" s="13"/>
      <c r="I118" s="13"/>
      <c r="K118" s="5" t="s">
        <v>30</v>
      </c>
      <c r="M118" s="14">
        <v>123.15870000000001</v>
      </c>
      <c r="N118" s="14"/>
      <c r="O118" s="14"/>
      <c r="Q118" s="15">
        <v>11.78</v>
      </c>
      <c r="R118" s="15"/>
      <c r="S118" s="15"/>
      <c r="T118" s="15"/>
      <c r="U118" s="15"/>
      <c r="W118" s="15">
        <v>1450.81</v>
      </c>
      <c r="X118" s="15"/>
    </row>
    <row r="119" spans="2:24" ht="10.5" customHeight="1" x14ac:dyDescent="0.25">
      <c r="B119" s="10" t="s">
        <v>209</v>
      </c>
      <c r="C119" s="10"/>
      <c r="D119" s="10"/>
      <c r="E119" s="13" t="s">
        <v>210</v>
      </c>
      <c r="F119" s="13"/>
      <c r="G119" s="13"/>
      <c r="H119" s="13"/>
      <c r="I119" s="13"/>
      <c r="K119" s="5" t="s">
        <v>30</v>
      </c>
      <c r="M119" s="14">
        <v>11.104100000000001</v>
      </c>
      <c r="N119" s="14"/>
      <c r="O119" s="14"/>
      <c r="Q119" s="15">
        <v>16.53</v>
      </c>
      <c r="R119" s="15"/>
      <c r="S119" s="15"/>
      <c r="T119" s="15"/>
      <c r="U119" s="15"/>
      <c r="W119" s="15">
        <v>183.55</v>
      </c>
      <c r="X119" s="15"/>
    </row>
    <row r="120" spans="2:24" ht="10.5" customHeight="1" x14ac:dyDescent="0.25">
      <c r="B120" s="10" t="s">
        <v>211</v>
      </c>
      <c r="C120" s="10"/>
      <c r="D120" s="10"/>
      <c r="E120" s="13" t="s">
        <v>212</v>
      </c>
      <c r="F120" s="13"/>
      <c r="G120" s="13"/>
      <c r="H120" s="13"/>
      <c r="I120" s="13"/>
      <c r="K120" s="5" t="s">
        <v>49</v>
      </c>
      <c r="M120" s="14">
        <v>1</v>
      </c>
      <c r="N120" s="14"/>
      <c r="O120" s="14"/>
      <c r="Q120" s="15">
        <v>500</v>
      </c>
      <c r="R120" s="15"/>
      <c r="S120" s="15"/>
      <c r="T120" s="15"/>
      <c r="U120" s="15"/>
      <c r="W120" s="15">
        <v>500</v>
      </c>
      <c r="X120" s="15"/>
    </row>
    <row r="121" spans="2:24" ht="10.5" customHeight="1" x14ac:dyDescent="0.25">
      <c r="B121" s="10" t="s">
        <v>213</v>
      </c>
      <c r="C121" s="10"/>
      <c r="D121" s="10"/>
      <c r="E121" s="13" t="s">
        <v>214</v>
      </c>
      <c r="F121" s="13"/>
      <c r="G121" s="13"/>
      <c r="H121" s="13"/>
      <c r="I121" s="13"/>
      <c r="K121" s="5" t="s">
        <v>30</v>
      </c>
      <c r="M121" s="14">
        <v>6</v>
      </c>
      <c r="N121" s="14"/>
      <c r="O121" s="14"/>
      <c r="Q121" s="15">
        <v>42.29</v>
      </c>
      <c r="R121" s="15"/>
      <c r="S121" s="15"/>
      <c r="T121" s="15"/>
      <c r="U121" s="15"/>
      <c r="W121" s="15">
        <v>253.74</v>
      </c>
      <c r="X121" s="15"/>
    </row>
    <row r="122" spans="2:24" ht="10.5" customHeight="1" x14ac:dyDescent="0.25">
      <c r="B122" s="10" t="s">
        <v>215</v>
      </c>
      <c r="C122" s="10"/>
      <c r="D122" s="10"/>
      <c r="E122" s="13" t="s">
        <v>216</v>
      </c>
      <c r="F122" s="13"/>
      <c r="G122" s="13"/>
      <c r="H122" s="13"/>
      <c r="I122" s="13"/>
      <c r="K122" s="5" t="s">
        <v>49</v>
      </c>
      <c r="M122" s="14">
        <v>1</v>
      </c>
      <c r="N122" s="14"/>
      <c r="O122" s="14"/>
      <c r="Q122" s="15">
        <v>500</v>
      </c>
      <c r="R122" s="15"/>
      <c r="S122" s="15"/>
      <c r="T122" s="15"/>
      <c r="U122" s="15"/>
      <c r="W122" s="15">
        <v>500</v>
      </c>
      <c r="X122" s="15"/>
    </row>
    <row r="123" spans="2:24" ht="10.5" customHeight="1" x14ac:dyDescent="0.25">
      <c r="B123" s="10" t="s">
        <v>217</v>
      </c>
      <c r="C123" s="10"/>
      <c r="D123" s="10"/>
      <c r="E123" s="13" t="s">
        <v>218</v>
      </c>
      <c r="F123" s="13"/>
      <c r="G123" s="13"/>
      <c r="H123" s="13"/>
      <c r="I123" s="13"/>
      <c r="K123" s="5" t="s">
        <v>30</v>
      </c>
      <c r="M123" s="14">
        <v>20</v>
      </c>
      <c r="N123" s="14"/>
      <c r="O123" s="14"/>
      <c r="Q123" s="15">
        <v>8.43</v>
      </c>
      <c r="R123" s="15"/>
      <c r="S123" s="15"/>
      <c r="T123" s="15"/>
      <c r="U123" s="15"/>
      <c r="W123" s="15">
        <v>168.6</v>
      </c>
      <c r="X123" s="15"/>
    </row>
    <row r="124" spans="2:24" ht="9.75" customHeight="1" x14ac:dyDescent="0.25">
      <c r="B124" s="10" t="s">
        <v>219</v>
      </c>
      <c r="C124" s="10"/>
      <c r="D124" s="10"/>
      <c r="E124" s="8" t="s">
        <v>220</v>
      </c>
      <c r="F124" s="8"/>
      <c r="G124" s="8"/>
      <c r="H124" s="8"/>
      <c r="I124" s="8"/>
      <c r="K124" s="5" t="s">
        <v>49</v>
      </c>
      <c r="M124" s="14">
        <v>1</v>
      </c>
      <c r="N124" s="14"/>
      <c r="O124" s="14"/>
      <c r="Q124" s="15">
        <v>2434.7000000000003</v>
      </c>
      <c r="R124" s="15"/>
      <c r="S124" s="15"/>
      <c r="T124" s="15"/>
      <c r="U124" s="15"/>
      <c r="W124" s="15">
        <v>2434.7000000000003</v>
      </c>
      <c r="X124" s="15"/>
    </row>
    <row r="125" spans="2:24" ht="10.5" customHeight="1" x14ac:dyDescent="0.25">
      <c r="E125" s="8"/>
      <c r="F125" s="8"/>
      <c r="G125" s="8"/>
      <c r="H125" s="8"/>
      <c r="I125" s="8"/>
    </row>
    <row r="126" spans="2:24" ht="0.75" customHeight="1" x14ac:dyDescent="0.25">
      <c r="E126" s="8"/>
      <c r="F126" s="8"/>
      <c r="G126" s="8"/>
      <c r="H126" s="8"/>
      <c r="I126" s="8"/>
    </row>
    <row r="127" spans="2:24" ht="5.25" customHeight="1" x14ac:dyDescent="0.25"/>
    <row r="128" spans="2:24" ht="13.5" customHeight="1" x14ac:dyDescent="0.25">
      <c r="W128" s="19">
        <v>1074759.0900000001</v>
      </c>
      <c r="X128" s="19"/>
    </row>
    <row r="129" spans="2:24" ht="13.2" x14ac:dyDescent="0.25">
      <c r="B129" s="12" t="s">
        <v>221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spans="2:24" ht="0.75" customHeight="1" x14ac:dyDescent="0.25"/>
    <row r="131" spans="2:24" ht="10.5" customHeight="1" x14ac:dyDescent="0.25">
      <c r="B131" s="10" t="s">
        <v>222</v>
      </c>
      <c r="C131" s="10"/>
      <c r="D131" s="10"/>
      <c r="E131" s="13" t="s">
        <v>223</v>
      </c>
      <c r="F131" s="13"/>
      <c r="G131" s="13"/>
      <c r="H131" s="13"/>
      <c r="I131" s="13"/>
      <c r="K131" s="5" t="s">
        <v>224</v>
      </c>
      <c r="M131" s="14">
        <v>196.81150000000002</v>
      </c>
      <c r="N131" s="14"/>
      <c r="O131" s="14"/>
      <c r="Q131" s="15">
        <v>3.75</v>
      </c>
      <c r="R131" s="15"/>
      <c r="S131" s="15"/>
      <c r="T131" s="15"/>
      <c r="U131" s="15"/>
      <c r="W131" s="15">
        <v>738.04</v>
      </c>
      <c r="X131" s="15"/>
    </row>
    <row r="132" spans="2:24" ht="9.75" customHeight="1" x14ac:dyDescent="0.25">
      <c r="B132" s="10" t="s">
        <v>225</v>
      </c>
      <c r="C132" s="10"/>
      <c r="D132" s="10"/>
      <c r="E132" s="13" t="s">
        <v>226</v>
      </c>
      <c r="F132" s="13"/>
      <c r="G132" s="13"/>
      <c r="H132" s="13"/>
      <c r="I132" s="13"/>
      <c r="K132" s="5" t="s">
        <v>227</v>
      </c>
      <c r="M132" s="14">
        <v>196.81299999999999</v>
      </c>
      <c r="N132" s="14"/>
      <c r="O132" s="14"/>
      <c r="Q132" s="15">
        <v>16.25</v>
      </c>
      <c r="R132" s="15"/>
      <c r="S132" s="15"/>
      <c r="T132" s="15"/>
      <c r="U132" s="15"/>
      <c r="W132" s="15">
        <v>3198.21</v>
      </c>
      <c r="X132" s="15"/>
    </row>
    <row r="133" spans="2:24" ht="0.75" customHeight="1" x14ac:dyDescent="0.25">
      <c r="E133" s="13"/>
      <c r="F133" s="13"/>
      <c r="G133" s="13"/>
      <c r="H133" s="13"/>
      <c r="I133" s="13"/>
    </row>
    <row r="134" spans="2:24" ht="10.5" customHeight="1" x14ac:dyDescent="0.25">
      <c r="B134" s="10" t="s">
        <v>228</v>
      </c>
      <c r="C134" s="10"/>
      <c r="D134" s="10"/>
      <c r="E134" s="13" t="s">
        <v>229</v>
      </c>
      <c r="F134" s="13"/>
      <c r="G134" s="13"/>
      <c r="H134" s="13"/>
      <c r="I134" s="13"/>
      <c r="K134" s="5" t="s">
        <v>230</v>
      </c>
      <c r="W134" s="15">
        <v>9244.08</v>
      </c>
      <c r="X134" s="15"/>
    </row>
    <row r="135" spans="2:24" ht="9" customHeight="1" x14ac:dyDescent="0.25"/>
    <row r="136" spans="2:24" ht="10.5" customHeight="1" x14ac:dyDescent="0.25">
      <c r="B136" s="10" t="s">
        <v>231</v>
      </c>
      <c r="C136" s="10"/>
      <c r="D136" s="10"/>
      <c r="E136" s="13" t="s">
        <v>229</v>
      </c>
      <c r="F136" s="13"/>
      <c r="G136" s="13"/>
      <c r="H136" s="13"/>
      <c r="I136" s="13"/>
      <c r="K136" s="5" t="s">
        <v>232</v>
      </c>
      <c r="W136" s="15">
        <v>240.78</v>
      </c>
      <c r="X136" s="15"/>
    </row>
    <row r="137" spans="2:24" ht="0.75" customHeight="1" x14ac:dyDescent="0.25"/>
    <row r="138" spans="2:24" ht="9.75" customHeight="1" x14ac:dyDescent="0.25">
      <c r="B138" s="10" t="s">
        <v>233</v>
      </c>
      <c r="C138" s="10"/>
      <c r="D138" s="10"/>
      <c r="E138" s="8" t="s">
        <v>234</v>
      </c>
      <c r="F138" s="8"/>
      <c r="G138" s="8"/>
      <c r="H138" s="8"/>
      <c r="I138" s="8"/>
      <c r="K138" s="5" t="s">
        <v>227</v>
      </c>
      <c r="M138" s="14">
        <v>22.209099999999999</v>
      </c>
      <c r="N138" s="14"/>
      <c r="O138" s="14"/>
      <c r="Q138" s="15">
        <v>170</v>
      </c>
      <c r="R138" s="15"/>
      <c r="S138" s="15"/>
      <c r="T138" s="15"/>
      <c r="U138" s="15"/>
      <c r="W138" s="15">
        <v>3775.55</v>
      </c>
      <c r="X138" s="15"/>
    </row>
    <row r="139" spans="2:24" ht="11.25" customHeight="1" x14ac:dyDescent="0.25">
      <c r="E139" s="8"/>
      <c r="F139" s="8"/>
      <c r="G139" s="8"/>
      <c r="H139" s="8"/>
      <c r="I139" s="8"/>
    </row>
    <row r="140" spans="2:24" ht="10.5" customHeight="1" x14ac:dyDescent="0.25">
      <c r="B140" s="10" t="s">
        <v>235</v>
      </c>
      <c r="C140" s="10"/>
      <c r="D140" s="10"/>
      <c r="E140" s="13" t="s">
        <v>236</v>
      </c>
      <c r="F140" s="13"/>
      <c r="G140" s="13"/>
      <c r="H140" s="13"/>
      <c r="I140" s="13"/>
      <c r="K140" s="5" t="s">
        <v>227</v>
      </c>
      <c r="M140" s="14">
        <v>621.90769999999998</v>
      </c>
      <c r="N140" s="14"/>
      <c r="O140" s="14"/>
      <c r="Q140" s="15">
        <v>12.71</v>
      </c>
      <c r="R140" s="15"/>
      <c r="S140" s="15"/>
      <c r="T140" s="15"/>
      <c r="U140" s="15"/>
      <c r="W140" s="15">
        <v>7904.45</v>
      </c>
      <c r="X140" s="15"/>
    </row>
    <row r="141" spans="2:24" ht="9.75" customHeight="1" x14ac:dyDescent="0.25">
      <c r="B141" s="10" t="s">
        <v>237</v>
      </c>
      <c r="C141" s="10"/>
      <c r="D141" s="10"/>
      <c r="E141" s="8" t="s">
        <v>238</v>
      </c>
      <c r="F141" s="8"/>
      <c r="G141" s="8"/>
      <c r="H141" s="8"/>
      <c r="I141" s="8"/>
      <c r="K141" s="5" t="s">
        <v>227</v>
      </c>
      <c r="M141" s="14">
        <v>62.263100000000009</v>
      </c>
      <c r="N141" s="14"/>
      <c r="O141" s="14"/>
      <c r="Q141" s="15">
        <v>170</v>
      </c>
      <c r="R141" s="15"/>
      <c r="S141" s="15"/>
      <c r="T141" s="15"/>
      <c r="U141" s="15"/>
      <c r="W141" s="15">
        <v>10584.73</v>
      </c>
      <c r="X141" s="15"/>
    </row>
    <row r="142" spans="2:24" ht="11.25" customHeight="1" x14ac:dyDescent="0.25">
      <c r="E142" s="8"/>
      <c r="F142" s="8"/>
      <c r="G142" s="8"/>
      <c r="H142" s="8"/>
      <c r="I142" s="8"/>
    </row>
    <row r="143" spans="2:24" ht="9.75" customHeight="1" x14ac:dyDescent="0.25">
      <c r="B143" s="10" t="s">
        <v>239</v>
      </c>
      <c r="C143" s="10"/>
      <c r="D143" s="10"/>
      <c r="E143" s="8" t="s">
        <v>240</v>
      </c>
      <c r="F143" s="8"/>
      <c r="G143" s="8"/>
      <c r="H143" s="8"/>
      <c r="I143" s="8"/>
      <c r="K143" s="5" t="s">
        <v>227</v>
      </c>
      <c r="M143" s="14">
        <v>33.314799999999998</v>
      </c>
      <c r="N143" s="14"/>
      <c r="O143" s="14"/>
      <c r="Q143" s="15">
        <v>170</v>
      </c>
      <c r="R143" s="15"/>
      <c r="S143" s="15"/>
      <c r="T143" s="15"/>
      <c r="U143" s="15"/>
      <c r="W143" s="15">
        <v>5663.52</v>
      </c>
      <c r="X143" s="15"/>
    </row>
    <row r="144" spans="2:24" ht="11.25" customHeight="1" x14ac:dyDescent="0.25">
      <c r="E144" s="8"/>
      <c r="F144" s="8"/>
      <c r="G144" s="8"/>
      <c r="H144" s="8"/>
      <c r="I144" s="8"/>
    </row>
    <row r="145" spans="2:24" ht="10.5" customHeight="1" x14ac:dyDescent="0.25">
      <c r="B145" s="10" t="s">
        <v>241</v>
      </c>
      <c r="C145" s="10"/>
      <c r="D145" s="10"/>
      <c r="E145" s="13" t="s">
        <v>242</v>
      </c>
      <c r="F145" s="13"/>
      <c r="G145" s="13"/>
      <c r="H145" s="13"/>
      <c r="I145" s="13"/>
      <c r="K145" s="5" t="s">
        <v>224</v>
      </c>
      <c r="M145" s="14">
        <v>0.63840000000000008</v>
      </c>
      <c r="N145" s="14"/>
      <c r="O145" s="14"/>
      <c r="Q145" s="15">
        <v>40</v>
      </c>
      <c r="R145" s="15"/>
      <c r="S145" s="15"/>
      <c r="T145" s="15"/>
      <c r="U145" s="15"/>
      <c r="W145" s="15">
        <v>25.54</v>
      </c>
      <c r="X145" s="15"/>
    </row>
    <row r="146" spans="2:24" ht="10.5" customHeight="1" x14ac:dyDescent="0.25">
      <c r="B146" s="10" t="s">
        <v>243</v>
      </c>
      <c r="C146" s="10"/>
      <c r="D146" s="10"/>
      <c r="E146" s="13" t="s">
        <v>244</v>
      </c>
      <c r="F146" s="13"/>
      <c r="G146" s="13"/>
      <c r="H146" s="13"/>
      <c r="I146" s="13"/>
      <c r="K146" s="5" t="s">
        <v>227</v>
      </c>
      <c r="M146" s="14">
        <v>73.248199999999997</v>
      </c>
      <c r="N146" s="14"/>
      <c r="O146" s="14"/>
      <c r="Q146" s="15">
        <v>55</v>
      </c>
      <c r="R146" s="15"/>
      <c r="S146" s="15"/>
      <c r="T146" s="15"/>
      <c r="U146" s="15"/>
      <c r="W146" s="15">
        <v>4028.65</v>
      </c>
      <c r="X146" s="15"/>
    </row>
    <row r="147" spans="2:24" ht="10.5" customHeight="1" x14ac:dyDescent="0.25">
      <c r="B147" s="10" t="s">
        <v>245</v>
      </c>
      <c r="C147" s="10"/>
      <c r="D147" s="10"/>
      <c r="E147" s="13" t="s">
        <v>246</v>
      </c>
      <c r="F147" s="13"/>
      <c r="G147" s="13"/>
      <c r="H147" s="13"/>
      <c r="I147" s="13"/>
      <c r="K147" s="5" t="s">
        <v>227</v>
      </c>
      <c r="M147" s="14">
        <v>153.97810000000001</v>
      </c>
      <c r="N147" s="14"/>
      <c r="O147" s="14"/>
      <c r="Q147" s="15">
        <v>110</v>
      </c>
      <c r="R147" s="15"/>
      <c r="S147" s="15"/>
      <c r="T147" s="15"/>
      <c r="U147" s="15"/>
      <c r="W147" s="15">
        <v>16937.59</v>
      </c>
      <c r="X147" s="15"/>
    </row>
    <row r="148" spans="2:24" ht="10.5" customHeight="1" x14ac:dyDescent="0.25">
      <c r="B148" s="10" t="s">
        <v>247</v>
      </c>
      <c r="C148" s="10"/>
      <c r="D148" s="10"/>
      <c r="E148" s="13" t="s">
        <v>248</v>
      </c>
      <c r="F148" s="13"/>
      <c r="G148" s="13"/>
      <c r="H148" s="13"/>
      <c r="I148" s="13"/>
      <c r="K148" s="5" t="s">
        <v>224</v>
      </c>
      <c r="M148" s="14">
        <v>22.6113</v>
      </c>
      <c r="N148" s="14"/>
      <c r="O148" s="14"/>
      <c r="Q148" s="15">
        <v>40</v>
      </c>
      <c r="R148" s="15"/>
      <c r="S148" s="15"/>
      <c r="T148" s="15"/>
      <c r="U148" s="15"/>
      <c r="W148" s="15">
        <v>904.45</v>
      </c>
      <c r="X148" s="15"/>
    </row>
    <row r="149" spans="2:24" ht="10.5" customHeight="1" x14ac:dyDescent="0.25">
      <c r="B149" s="10" t="s">
        <v>249</v>
      </c>
      <c r="C149" s="10"/>
      <c r="D149" s="10"/>
      <c r="E149" s="13" t="s">
        <v>250</v>
      </c>
      <c r="F149" s="13"/>
      <c r="G149" s="13"/>
      <c r="H149" s="13"/>
      <c r="I149" s="13"/>
      <c r="K149" s="5" t="s">
        <v>224</v>
      </c>
      <c r="M149" s="14">
        <v>219.22290000000001</v>
      </c>
      <c r="N149" s="14"/>
      <c r="O149" s="14"/>
      <c r="Q149" s="15">
        <v>12.5</v>
      </c>
      <c r="R149" s="15"/>
      <c r="S149" s="15"/>
      <c r="T149" s="15"/>
      <c r="U149" s="15"/>
      <c r="W149" s="15">
        <v>2740.29</v>
      </c>
      <c r="X149" s="15"/>
    </row>
    <row r="150" spans="2:24" ht="10.5" customHeight="1" x14ac:dyDescent="0.25">
      <c r="B150" s="10" t="s">
        <v>251</v>
      </c>
      <c r="C150" s="10"/>
      <c r="D150" s="10"/>
      <c r="E150" s="13" t="s">
        <v>252</v>
      </c>
      <c r="F150" s="13"/>
      <c r="G150" s="13"/>
      <c r="H150" s="13"/>
      <c r="I150" s="13"/>
      <c r="K150" s="5" t="s">
        <v>227</v>
      </c>
      <c r="M150" s="14">
        <v>125.1032</v>
      </c>
      <c r="N150" s="14"/>
      <c r="O150" s="14"/>
      <c r="Q150" s="15">
        <v>17.5</v>
      </c>
      <c r="R150" s="15"/>
      <c r="S150" s="15"/>
      <c r="T150" s="15"/>
      <c r="U150" s="15"/>
      <c r="W150" s="15">
        <v>2189.31</v>
      </c>
      <c r="X150" s="15"/>
    </row>
    <row r="151" spans="2:24" ht="10.5" customHeight="1" x14ac:dyDescent="0.25">
      <c r="B151" s="10" t="s">
        <v>253</v>
      </c>
      <c r="C151" s="10"/>
      <c r="D151" s="10"/>
      <c r="E151" s="13" t="s">
        <v>254</v>
      </c>
      <c r="F151" s="13"/>
      <c r="G151" s="13"/>
      <c r="H151" s="13"/>
      <c r="I151" s="13"/>
      <c r="K151" s="5" t="s">
        <v>227</v>
      </c>
      <c r="M151" s="14">
        <v>203.2638</v>
      </c>
      <c r="N151" s="14"/>
      <c r="O151" s="14"/>
      <c r="Q151" s="15">
        <v>170</v>
      </c>
      <c r="R151" s="15"/>
      <c r="S151" s="15"/>
      <c r="T151" s="15"/>
      <c r="U151" s="15"/>
      <c r="W151" s="15">
        <v>34554.85</v>
      </c>
      <c r="X151" s="15"/>
    </row>
    <row r="152" spans="2:24" ht="10.5" customHeight="1" x14ac:dyDescent="0.25">
      <c r="B152" s="10" t="s">
        <v>255</v>
      </c>
      <c r="C152" s="10"/>
      <c r="D152" s="10"/>
      <c r="E152" s="13" t="s">
        <v>256</v>
      </c>
      <c r="F152" s="13"/>
      <c r="G152" s="13"/>
      <c r="H152" s="13"/>
      <c r="I152" s="13"/>
      <c r="K152" s="5" t="s">
        <v>227</v>
      </c>
      <c r="M152" s="14">
        <v>1.71</v>
      </c>
      <c r="N152" s="14"/>
      <c r="O152" s="14"/>
      <c r="Q152" s="15">
        <v>190</v>
      </c>
      <c r="R152" s="15"/>
      <c r="S152" s="15"/>
      <c r="T152" s="15"/>
      <c r="U152" s="15"/>
      <c r="W152" s="15">
        <v>324.90000000000003</v>
      </c>
      <c r="X152" s="15"/>
    </row>
    <row r="153" spans="2:24" ht="10.5" customHeight="1" x14ac:dyDescent="0.25">
      <c r="B153" s="10" t="s">
        <v>257</v>
      </c>
      <c r="C153" s="10"/>
      <c r="D153" s="10"/>
      <c r="E153" s="13" t="s">
        <v>258</v>
      </c>
      <c r="F153" s="13"/>
      <c r="G153" s="13"/>
      <c r="H153" s="13"/>
      <c r="I153" s="13"/>
      <c r="K153" s="5" t="s">
        <v>227</v>
      </c>
      <c r="M153" s="14">
        <v>501.85730000000007</v>
      </c>
      <c r="N153" s="14"/>
      <c r="O153" s="14"/>
      <c r="Q153" s="15">
        <v>101.7</v>
      </c>
      <c r="R153" s="15"/>
      <c r="S153" s="15"/>
      <c r="T153" s="15"/>
      <c r="U153" s="15"/>
      <c r="W153" s="15">
        <v>51038.89</v>
      </c>
      <c r="X153" s="15"/>
    </row>
    <row r="154" spans="2:24" ht="10.5" customHeight="1" x14ac:dyDescent="0.25">
      <c r="B154" s="10" t="s">
        <v>259</v>
      </c>
      <c r="C154" s="10"/>
      <c r="D154" s="10"/>
      <c r="E154" s="13" t="s">
        <v>260</v>
      </c>
      <c r="F154" s="13"/>
      <c r="G154" s="13"/>
      <c r="H154" s="13"/>
      <c r="I154" s="13"/>
      <c r="K154" s="5" t="s">
        <v>227</v>
      </c>
      <c r="M154" s="14">
        <v>173.29390000000001</v>
      </c>
      <c r="N154" s="14"/>
      <c r="O154" s="14"/>
      <c r="Q154" s="15">
        <v>190</v>
      </c>
      <c r="R154" s="15"/>
      <c r="S154" s="15"/>
      <c r="T154" s="15"/>
      <c r="U154" s="15"/>
      <c r="W154" s="15">
        <v>32925.840000000004</v>
      </c>
      <c r="X154" s="15"/>
    </row>
    <row r="155" spans="2:24" ht="10.5" customHeight="1" x14ac:dyDescent="0.25">
      <c r="B155" s="10" t="s">
        <v>261</v>
      </c>
      <c r="C155" s="10"/>
      <c r="D155" s="10"/>
      <c r="E155" s="13" t="s">
        <v>262</v>
      </c>
      <c r="F155" s="13"/>
      <c r="G155" s="13"/>
      <c r="H155" s="13"/>
      <c r="I155" s="13"/>
      <c r="K155" s="5" t="s">
        <v>227</v>
      </c>
      <c r="M155" s="14">
        <v>76.832899999999995</v>
      </c>
      <c r="N155" s="14"/>
      <c r="O155" s="14"/>
      <c r="Q155" s="15">
        <v>160</v>
      </c>
      <c r="R155" s="15"/>
      <c r="S155" s="15"/>
      <c r="T155" s="15"/>
      <c r="U155" s="15"/>
      <c r="W155" s="15">
        <v>12293.26</v>
      </c>
      <c r="X155" s="15"/>
    </row>
    <row r="156" spans="2:24" ht="10.5" customHeight="1" x14ac:dyDescent="0.25">
      <c r="B156" s="10" t="s">
        <v>263</v>
      </c>
      <c r="C156" s="10"/>
      <c r="D156" s="10"/>
      <c r="E156" s="13" t="s">
        <v>264</v>
      </c>
      <c r="F156" s="13"/>
      <c r="G156" s="13"/>
      <c r="H156" s="13"/>
      <c r="I156" s="13"/>
      <c r="K156" s="5" t="s">
        <v>227</v>
      </c>
      <c r="M156" s="14">
        <v>19.414100000000001</v>
      </c>
      <c r="N156" s="14"/>
      <c r="O156" s="14"/>
      <c r="Q156" s="15">
        <v>160</v>
      </c>
      <c r="R156" s="15"/>
      <c r="S156" s="15"/>
      <c r="T156" s="15"/>
      <c r="U156" s="15"/>
      <c r="W156" s="15">
        <v>3106.26</v>
      </c>
      <c r="X156" s="15"/>
    </row>
    <row r="157" spans="2:24" ht="10.5" customHeight="1" x14ac:dyDescent="0.25">
      <c r="B157" s="10" t="s">
        <v>265</v>
      </c>
      <c r="C157" s="10"/>
      <c r="D157" s="10"/>
      <c r="E157" s="13" t="s">
        <v>266</v>
      </c>
      <c r="F157" s="13"/>
      <c r="G157" s="13"/>
      <c r="H157" s="13"/>
      <c r="I157" s="13"/>
      <c r="K157" s="5" t="s">
        <v>227</v>
      </c>
      <c r="M157" s="14">
        <v>53.333999999999996</v>
      </c>
      <c r="N157" s="14"/>
      <c r="O157" s="14"/>
      <c r="Q157" s="15">
        <v>240</v>
      </c>
      <c r="R157" s="15"/>
      <c r="S157" s="15"/>
      <c r="T157" s="15"/>
      <c r="U157" s="15"/>
      <c r="W157" s="15">
        <v>12800.16</v>
      </c>
      <c r="X157" s="15"/>
    </row>
    <row r="158" spans="2:24" ht="10.5" customHeight="1" x14ac:dyDescent="0.25">
      <c r="B158" s="10" t="s">
        <v>267</v>
      </c>
      <c r="C158" s="10"/>
      <c r="D158" s="10"/>
      <c r="E158" s="13" t="s">
        <v>268</v>
      </c>
      <c r="F158" s="13"/>
      <c r="G158" s="13"/>
      <c r="H158" s="13"/>
      <c r="I158" s="13"/>
      <c r="K158" s="5" t="s">
        <v>227</v>
      </c>
      <c r="M158" s="14">
        <v>657.19369999999992</v>
      </c>
      <c r="N158" s="14"/>
      <c r="O158" s="14"/>
      <c r="Q158" s="15">
        <v>110</v>
      </c>
      <c r="R158" s="15"/>
      <c r="S158" s="15"/>
      <c r="T158" s="15"/>
      <c r="U158" s="15"/>
      <c r="W158" s="15">
        <v>72291.31</v>
      </c>
      <c r="X158" s="15"/>
    </row>
    <row r="159" spans="2:24" ht="10.5" customHeight="1" x14ac:dyDescent="0.25">
      <c r="B159" s="10" t="s">
        <v>269</v>
      </c>
      <c r="C159" s="10"/>
      <c r="D159" s="10"/>
      <c r="E159" s="13" t="s">
        <v>270</v>
      </c>
      <c r="F159" s="13"/>
      <c r="G159" s="13"/>
      <c r="H159" s="13"/>
      <c r="I159" s="13"/>
      <c r="K159" s="5" t="s">
        <v>227</v>
      </c>
      <c r="M159" s="14">
        <v>103.5942</v>
      </c>
      <c r="N159" s="14"/>
      <c r="O159" s="14"/>
      <c r="Q159" s="15">
        <v>75</v>
      </c>
      <c r="R159" s="15"/>
      <c r="S159" s="15"/>
      <c r="T159" s="15"/>
      <c r="U159" s="15"/>
      <c r="W159" s="15">
        <v>7769.57</v>
      </c>
      <c r="X159" s="15"/>
    </row>
    <row r="160" spans="2:24" ht="10.5" customHeight="1" x14ac:dyDescent="0.25">
      <c r="B160" s="10" t="s">
        <v>271</v>
      </c>
      <c r="C160" s="10"/>
      <c r="D160" s="10"/>
      <c r="E160" s="13" t="s">
        <v>272</v>
      </c>
      <c r="F160" s="13"/>
      <c r="G160" s="13"/>
      <c r="H160" s="13"/>
      <c r="I160" s="13"/>
      <c r="K160" s="5" t="s">
        <v>227</v>
      </c>
      <c r="M160" s="14">
        <v>28.874899999999997</v>
      </c>
      <c r="N160" s="14"/>
      <c r="O160" s="14"/>
      <c r="Q160" s="15">
        <v>245</v>
      </c>
      <c r="R160" s="15"/>
      <c r="S160" s="15"/>
      <c r="T160" s="15"/>
      <c r="U160" s="15"/>
      <c r="W160" s="15">
        <v>7074.35</v>
      </c>
      <c r="X160" s="15"/>
    </row>
    <row r="161" spans="2:24" ht="10.5" customHeight="1" x14ac:dyDescent="0.25">
      <c r="B161" s="10" t="s">
        <v>273</v>
      </c>
      <c r="C161" s="10"/>
      <c r="D161" s="10"/>
      <c r="E161" s="13" t="s">
        <v>274</v>
      </c>
      <c r="F161" s="13"/>
      <c r="G161" s="13"/>
      <c r="H161" s="13"/>
      <c r="I161" s="13"/>
      <c r="K161" s="5" t="s">
        <v>227</v>
      </c>
      <c r="M161" s="14">
        <v>6.8579999999999997</v>
      </c>
      <c r="N161" s="14"/>
      <c r="O161" s="14"/>
      <c r="Q161" s="15">
        <v>135</v>
      </c>
      <c r="R161" s="15"/>
      <c r="S161" s="15"/>
      <c r="T161" s="15"/>
      <c r="U161" s="15"/>
      <c r="W161" s="15">
        <v>925.83</v>
      </c>
      <c r="X161" s="15"/>
    </row>
    <row r="162" spans="2:24" ht="10.5" customHeight="1" x14ac:dyDescent="0.25">
      <c r="B162" s="10" t="s">
        <v>275</v>
      </c>
      <c r="C162" s="10"/>
      <c r="D162" s="10"/>
      <c r="E162" s="13" t="s">
        <v>276</v>
      </c>
      <c r="F162" s="13"/>
      <c r="G162" s="13"/>
      <c r="H162" s="13"/>
      <c r="I162" s="13"/>
      <c r="K162" s="5" t="s">
        <v>227</v>
      </c>
      <c r="M162" s="14">
        <v>22.6113</v>
      </c>
      <c r="N162" s="14"/>
      <c r="O162" s="14"/>
      <c r="Q162" s="15">
        <v>40</v>
      </c>
      <c r="R162" s="15"/>
      <c r="S162" s="15"/>
      <c r="T162" s="15"/>
      <c r="U162" s="15"/>
      <c r="W162" s="15">
        <v>904.45</v>
      </c>
      <c r="X162" s="15"/>
    </row>
    <row r="163" spans="2:24" ht="10.5" customHeight="1" x14ac:dyDescent="0.25">
      <c r="B163" s="10" t="s">
        <v>277</v>
      </c>
      <c r="C163" s="10"/>
      <c r="D163" s="10"/>
      <c r="E163" s="13" t="s">
        <v>278</v>
      </c>
      <c r="F163" s="13"/>
      <c r="G163" s="13"/>
      <c r="H163" s="13"/>
      <c r="I163" s="13"/>
      <c r="K163" s="5" t="s">
        <v>227</v>
      </c>
      <c r="M163" s="14">
        <v>263.16590000000002</v>
      </c>
      <c r="N163" s="14"/>
      <c r="O163" s="14"/>
      <c r="Q163" s="15">
        <v>10.5</v>
      </c>
      <c r="R163" s="15"/>
      <c r="S163" s="15"/>
      <c r="T163" s="15"/>
      <c r="U163" s="15"/>
      <c r="W163" s="15">
        <v>2763.2400000000002</v>
      </c>
      <c r="X163" s="15"/>
    </row>
    <row r="164" spans="2:24" ht="10.5" customHeight="1" x14ac:dyDescent="0.25">
      <c r="B164" s="10" t="s">
        <v>279</v>
      </c>
      <c r="C164" s="10"/>
      <c r="D164" s="10"/>
      <c r="E164" s="13" t="s">
        <v>280</v>
      </c>
      <c r="F164" s="13"/>
      <c r="G164" s="13"/>
      <c r="H164" s="13"/>
      <c r="I164" s="13"/>
      <c r="K164" s="5" t="s">
        <v>227</v>
      </c>
      <c r="M164" s="14">
        <v>263.16630000000004</v>
      </c>
      <c r="N164" s="14"/>
      <c r="O164" s="14"/>
      <c r="Q164" s="15">
        <v>15.25</v>
      </c>
      <c r="R164" s="15"/>
      <c r="S164" s="15"/>
      <c r="T164" s="15"/>
      <c r="U164" s="15"/>
      <c r="W164" s="15">
        <v>4013.29</v>
      </c>
      <c r="X164" s="15"/>
    </row>
    <row r="165" spans="2:24" ht="10.5" customHeight="1" x14ac:dyDescent="0.25">
      <c r="B165" s="10" t="s">
        <v>281</v>
      </c>
      <c r="C165" s="10"/>
      <c r="D165" s="10"/>
      <c r="E165" s="13" t="s">
        <v>282</v>
      </c>
      <c r="F165" s="13"/>
      <c r="G165" s="13"/>
      <c r="H165" s="13"/>
      <c r="I165" s="13"/>
      <c r="K165" s="5" t="s">
        <v>227</v>
      </c>
      <c r="M165" s="14">
        <v>115.24799999999999</v>
      </c>
      <c r="N165" s="14"/>
      <c r="O165" s="14"/>
      <c r="Q165" s="15">
        <v>3.8000000000000003</v>
      </c>
      <c r="R165" s="15"/>
      <c r="S165" s="15"/>
      <c r="T165" s="15"/>
      <c r="U165" s="15"/>
      <c r="W165" s="15">
        <v>437.94</v>
      </c>
      <c r="X165" s="15"/>
    </row>
    <row r="166" spans="2:24" ht="10.5" customHeight="1" x14ac:dyDescent="0.25">
      <c r="B166" s="10" t="s">
        <v>283</v>
      </c>
      <c r="C166" s="10"/>
      <c r="D166" s="10"/>
      <c r="E166" s="13" t="s">
        <v>284</v>
      </c>
      <c r="F166" s="13"/>
      <c r="G166" s="13"/>
      <c r="H166" s="13"/>
      <c r="I166" s="13"/>
      <c r="K166" s="5" t="s">
        <v>227</v>
      </c>
      <c r="M166" s="14">
        <v>17.769200000000001</v>
      </c>
      <c r="N166" s="14"/>
      <c r="O166" s="14"/>
      <c r="Q166" s="15">
        <v>35</v>
      </c>
      <c r="R166" s="15"/>
      <c r="S166" s="15"/>
      <c r="T166" s="15"/>
      <c r="U166" s="15"/>
      <c r="W166" s="15">
        <v>621.91999999999996</v>
      </c>
      <c r="X166" s="15"/>
    </row>
    <row r="167" spans="2:24" ht="9.75" customHeight="1" x14ac:dyDescent="0.25">
      <c r="B167" s="10" t="s">
        <v>285</v>
      </c>
      <c r="C167" s="10"/>
      <c r="D167" s="10"/>
      <c r="E167" s="13" t="s">
        <v>286</v>
      </c>
      <c r="F167" s="13"/>
      <c r="G167" s="13"/>
      <c r="H167" s="13"/>
      <c r="I167" s="13"/>
      <c r="K167" s="5" t="s">
        <v>227</v>
      </c>
      <c r="M167" s="14">
        <v>22.209099999999999</v>
      </c>
      <c r="N167" s="14"/>
      <c r="O167" s="14"/>
      <c r="Q167" s="15">
        <v>385</v>
      </c>
      <c r="R167" s="15"/>
      <c r="S167" s="15"/>
      <c r="T167" s="15"/>
      <c r="U167" s="15"/>
      <c r="W167" s="15">
        <v>8550.5</v>
      </c>
      <c r="X167" s="15"/>
    </row>
    <row r="168" spans="2:24" ht="0.75" customHeight="1" x14ac:dyDescent="0.25">
      <c r="E168" s="13"/>
      <c r="F168" s="13"/>
      <c r="G168" s="13"/>
      <c r="H168" s="13"/>
      <c r="I168" s="13"/>
    </row>
    <row r="169" spans="2:24" ht="5.25" customHeight="1" x14ac:dyDescent="0.25"/>
    <row r="170" spans="2:24" ht="13.5" customHeight="1" x14ac:dyDescent="0.25">
      <c r="W170" s="19">
        <v>320571.75</v>
      </c>
      <c r="X170" s="19"/>
    </row>
    <row r="171" spans="2:24" ht="13.2" x14ac:dyDescent="0.25">
      <c r="B171" s="12" t="s">
        <v>287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spans="2:24" ht="0.75" customHeight="1" x14ac:dyDescent="0.25"/>
    <row r="173" spans="2:24" ht="10.5" customHeight="1" x14ac:dyDescent="0.25">
      <c r="B173" s="10" t="s">
        <v>288</v>
      </c>
      <c r="C173" s="10"/>
      <c r="D173" s="10"/>
      <c r="E173" s="13" t="s">
        <v>289</v>
      </c>
      <c r="F173" s="13"/>
      <c r="G173" s="13"/>
      <c r="H173" s="13"/>
      <c r="I173" s="13"/>
      <c r="K173" s="5" t="s">
        <v>49</v>
      </c>
      <c r="M173" s="14">
        <v>1</v>
      </c>
      <c r="N173" s="14"/>
      <c r="O173" s="14"/>
      <c r="Q173" s="15">
        <v>2203.39</v>
      </c>
      <c r="R173" s="15"/>
      <c r="S173" s="15"/>
      <c r="T173" s="15"/>
      <c r="U173" s="15"/>
      <c r="W173" s="15">
        <v>2203.39</v>
      </c>
      <c r="X173" s="15"/>
    </row>
    <row r="174" spans="2:24" ht="9.75" customHeight="1" x14ac:dyDescent="0.25">
      <c r="B174" s="10" t="s">
        <v>290</v>
      </c>
      <c r="C174" s="10"/>
      <c r="D174" s="10"/>
      <c r="E174" s="8" t="s">
        <v>291</v>
      </c>
      <c r="F174" s="8"/>
      <c r="G174" s="8"/>
      <c r="H174" s="8"/>
      <c r="I174" s="8"/>
      <c r="K174" s="5" t="s">
        <v>49</v>
      </c>
      <c r="M174" s="14">
        <v>1</v>
      </c>
      <c r="N174" s="14"/>
      <c r="O174" s="14"/>
      <c r="Q174" s="15">
        <v>2203.39</v>
      </c>
      <c r="R174" s="15"/>
      <c r="S174" s="15"/>
      <c r="T174" s="15"/>
      <c r="U174" s="15"/>
      <c r="W174" s="15">
        <v>2203.39</v>
      </c>
      <c r="X174" s="15"/>
    </row>
    <row r="175" spans="2:24" ht="11.25" customHeight="1" x14ac:dyDescent="0.25">
      <c r="E175" s="8"/>
      <c r="F175" s="8"/>
      <c r="G175" s="8"/>
      <c r="H175" s="8"/>
      <c r="I175" s="8"/>
    </row>
    <row r="176" spans="2:24" ht="9.75" customHeight="1" x14ac:dyDescent="0.25">
      <c r="B176" s="10" t="s">
        <v>292</v>
      </c>
      <c r="C176" s="10"/>
      <c r="D176" s="10"/>
      <c r="E176" s="8" t="s">
        <v>293</v>
      </c>
      <c r="F176" s="8"/>
      <c r="G176" s="8"/>
      <c r="H176" s="8"/>
      <c r="I176" s="8"/>
      <c r="K176" s="5" t="s">
        <v>49</v>
      </c>
      <c r="M176" s="14">
        <v>1</v>
      </c>
      <c r="N176" s="14"/>
      <c r="O176" s="14"/>
      <c r="Q176" s="15">
        <v>2711.86</v>
      </c>
      <c r="R176" s="15"/>
      <c r="S176" s="15"/>
      <c r="T176" s="15"/>
      <c r="U176" s="15"/>
      <c r="W176" s="15">
        <v>2711.86</v>
      </c>
      <c r="X176" s="15"/>
    </row>
    <row r="177" spans="2:24" ht="11.25" customHeight="1" x14ac:dyDescent="0.25">
      <c r="E177" s="8"/>
      <c r="F177" s="8"/>
      <c r="G177" s="8"/>
      <c r="H177" s="8"/>
      <c r="I177" s="8"/>
    </row>
    <row r="178" spans="2:24" ht="10.5" customHeight="1" x14ac:dyDescent="0.25">
      <c r="B178" s="10" t="s">
        <v>294</v>
      </c>
      <c r="C178" s="10"/>
      <c r="D178" s="10"/>
      <c r="E178" s="13" t="s">
        <v>295</v>
      </c>
      <c r="F178" s="13"/>
      <c r="G178" s="13"/>
      <c r="H178" s="13"/>
      <c r="I178" s="13"/>
      <c r="K178" s="5" t="s">
        <v>46</v>
      </c>
      <c r="M178" s="14">
        <v>417.82620000000003</v>
      </c>
      <c r="N178" s="14"/>
      <c r="O178" s="14"/>
      <c r="Q178" s="15">
        <v>50</v>
      </c>
      <c r="R178" s="15"/>
      <c r="S178" s="15"/>
      <c r="T178" s="15"/>
      <c r="U178" s="15"/>
      <c r="W178" s="15">
        <v>20891.310000000001</v>
      </c>
      <c r="X178" s="15"/>
    </row>
    <row r="179" spans="2:24" ht="10.5" customHeight="1" x14ac:dyDescent="0.25">
      <c r="B179" s="10" t="s">
        <v>296</v>
      </c>
      <c r="C179" s="10"/>
      <c r="D179" s="10"/>
      <c r="E179" s="13" t="s">
        <v>297</v>
      </c>
      <c r="F179" s="13"/>
      <c r="G179" s="13"/>
      <c r="H179" s="13"/>
      <c r="I179" s="13"/>
      <c r="K179" s="5" t="s">
        <v>298</v>
      </c>
      <c r="M179" s="14">
        <v>3.5</v>
      </c>
      <c r="N179" s="14"/>
      <c r="O179" s="14"/>
      <c r="Q179" s="15">
        <v>1100</v>
      </c>
      <c r="R179" s="15"/>
      <c r="S179" s="15"/>
      <c r="T179" s="15"/>
      <c r="U179" s="15"/>
      <c r="W179" s="15">
        <v>3850</v>
      </c>
      <c r="X179" s="15"/>
    </row>
    <row r="180" spans="2:24" ht="9.75" customHeight="1" x14ac:dyDescent="0.25">
      <c r="B180" s="10" t="s">
        <v>299</v>
      </c>
      <c r="C180" s="10"/>
      <c r="D180" s="10"/>
      <c r="E180" s="8" t="s">
        <v>300</v>
      </c>
      <c r="F180" s="8"/>
      <c r="G180" s="8"/>
      <c r="H180" s="8"/>
      <c r="I180" s="8"/>
      <c r="K180" s="5" t="s">
        <v>49</v>
      </c>
      <c r="M180" s="14">
        <v>1</v>
      </c>
      <c r="N180" s="14"/>
      <c r="O180" s="14"/>
      <c r="Q180" s="15">
        <v>1000</v>
      </c>
      <c r="R180" s="15"/>
      <c r="S180" s="15"/>
      <c r="T180" s="15"/>
      <c r="U180" s="15"/>
      <c r="W180" s="15">
        <v>1000</v>
      </c>
      <c r="X180" s="15"/>
    </row>
    <row r="181" spans="2:24" ht="11.25" customHeight="1" x14ac:dyDescent="0.25">
      <c r="E181" s="8"/>
      <c r="F181" s="8"/>
      <c r="G181" s="8"/>
      <c r="H181" s="8"/>
      <c r="I181" s="8"/>
    </row>
    <row r="182" spans="2:24" ht="10.5" customHeight="1" x14ac:dyDescent="0.25">
      <c r="B182" s="10" t="s">
        <v>301</v>
      </c>
      <c r="C182" s="10"/>
      <c r="D182" s="10"/>
      <c r="E182" s="13" t="s">
        <v>302</v>
      </c>
      <c r="F182" s="13"/>
      <c r="G182" s="13"/>
      <c r="H182" s="13"/>
      <c r="I182" s="13"/>
      <c r="K182" s="5" t="s">
        <v>298</v>
      </c>
      <c r="M182" s="14">
        <v>3.5</v>
      </c>
      <c r="N182" s="14"/>
      <c r="O182" s="14"/>
      <c r="Q182" s="15">
        <v>350</v>
      </c>
      <c r="R182" s="15"/>
      <c r="S182" s="15"/>
      <c r="T182" s="15"/>
      <c r="U182" s="15"/>
      <c r="W182" s="15">
        <v>1225</v>
      </c>
      <c r="X182" s="15"/>
    </row>
    <row r="183" spans="2:24" ht="9.75" customHeight="1" x14ac:dyDescent="0.25">
      <c r="B183" s="10" t="s">
        <v>303</v>
      </c>
      <c r="C183" s="10"/>
      <c r="D183" s="10"/>
      <c r="E183" s="8" t="s">
        <v>304</v>
      </c>
      <c r="F183" s="8"/>
      <c r="G183" s="8"/>
      <c r="H183" s="8"/>
      <c r="I183" s="8"/>
      <c r="K183" s="5" t="s">
        <v>49</v>
      </c>
      <c r="M183" s="14">
        <v>1</v>
      </c>
      <c r="N183" s="14"/>
      <c r="O183" s="14"/>
      <c r="Q183" s="15">
        <v>3048.62</v>
      </c>
      <c r="R183" s="15"/>
      <c r="S183" s="15"/>
      <c r="T183" s="15"/>
      <c r="U183" s="15"/>
      <c r="W183" s="15">
        <v>3048.62</v>
      </c>
      <c r="X183" s="15"/>
    </row>
    <row r="184" spans="2:24" ht="11.25" customHeight="1" x14ac:dyDescent="0.25">
      <c r="E184" s="8"/>
      <c r="F184" s="8"/>
      <c r="G184" s="8"/>
      <c r="H184" s="8"/>
      <c r="I184" s="8"/>
    </row>
    <row r="185" spans="2:24" ht="9.75" customHeight="1" x14ac:dyDescent="0.25">
      <c r="B185" s="10" t="s">
        <v>305</v>
      </c>
      <c r="C185" s="10"/>
      <c r="D185" s="10"/>
      <c r="E185" s="8" t="s">
        <v>306</v>
      </c>
      <c r="F185" s="8"/>
      <c r="G185" s="8"/>
      <c r="H185" s="8"/>
      <c r="I185" s="8"/>
      <c r="K185" s="5" t="s">
        <v>49</v>
      </c>
      <c r="M185" s="14">
        <v>1</v>
      </c>
      <c r="N185" s="14"/>
      <c r="O185" s="14"/>
      <c r="Q185" s="15">
        <v>1800</v>
      </c>
      <c r="R185" s="15"/>
      <c r="S185" s="15"/>
      <c r="T185" s="15"/>
      <c r="U185" s="15"/>
      <c r="W185" s="15">
        <v>1800</v>
      </c>
      <c r="X185" s="15"/>
    </row>
    <row r="186" spans="2:24" ht="11.25" customHeight="1" x14ac:dyDescent="0.25">
      <c r="E186" s="8"/>
      <c r="F186" s="8"/>
      <c r="G186" s="8"/>
      <c r="H186" s="8"/>
      <c r="I186" s="8"/>
    </row>
    <row r="187" spans="2:24" ht="10.5" customHeight="1" x14ac:dyDescent="0.25">
      <c r="B187" s="10" t="s">
        <v>307</v>
      </c>
      <c r="C187" s="10"/>
      <c r="D187" s="10"/>
      <c r="E187" s="13" t="s">
        <v>308</v>
      </c>
      <c r="F187" s="13"/>
      <c r="G187" s="13"/>
      <c r="H187" s="13"/>
      <c r="I187" s="13"/>
      <c r="K187" s="5" t="s">
        <v>298</v>
      </c>
      <c r="M187" s="14">
        <v>3.5</v>
      </c>
      <c r="N187" s="14"/>
      <c r="O187" s="14"/>
      <c r="Q187" s="15">
        <v>600</v>
      </c>
      <c r="R187" s="15"/>
      <c r="S187" s="15"/>
      <c r="T187" s="15"/>
      <c r="U187" s="15"/>
      <c r="W187" s="15">
        <v>2100</v>
      </c>
      <c r="X187" s="15"/>
    </row>
    <row r="188" spans="2:24" ht="10.5" customHeight="1" x14ac:dyDescent="0.25">
      <c r="B188" s="10" t="s">
        <v>309</v>
      </c>
      <c r="C188" s="10"/>
      <c r="D188" s="10"/>
      <c r="E188" s="13" t="s">
        <v>310</v>
      </c>
      <c r="F188" s="13"/>
      <c r="G188" s="13"/>
      <c r="H188" s="13"/>
      <c r="I188" s="13"/>
      <c r="K188" s="5" t="s">
        <v>311</v>
      </c>
      <c r="M188" s="14">
        <v>4</v>
      </c>
      <c r="N188" s="14"/>
      <c r="O188" s="14"/>
      <c r="Q188" s="15">
        <v>970</v>
      </c>
      <c r="R188" s="15"/>
      <c r="S188" s="15"/>
      <c r="T188" s="15"/>
      <c r="U188" s="15"/>
      <c r="W188" s="15">
        <v>3880</v>
      </c>
      <c r="X188" s="15"/>
    </row>
    <row r="189" spans="2:24" ht="10.5" customHeight="1" x14ac:dyDescent="0.25">
      <c r="B189" s="10" t="s">
        <v>312</v>
      </c>
      <c r="C189" s="10"/>
      <c r="D189" s="10"/>
      <c r="E189" s="13" t="s">
        <v>313</v>
      </c>
      <c r="F189" s="13"/>
      <c r="G189" s="13"/>
      <c r="H189" s="13"/>
      <c r="I189" s="13"/>
      <c r="K189" s="5" t="s">
        <v>311</v>
      </c>
      <c r="M189" s="14">
        <v>4</v>
      </c>
      <c r="N189" s="14"/>
      <c r="O189" s="14"/>
      <c r="Q189" s="15">
        <v>90</v>
      </c>
      <c r="R189" s="15"/>
      <c r="S189" s="15"/>
      <c r="T189" s="15"/>
      <c r="U189" s="15"/>
      <c r="W189" s="15">
        <v>360</v>
      </c>
      <c r="X189" s="15"/>
    </row>
    <row r="190" spans="2:24" ht="10.5" customHeight="1" x14ac:dyDescent="0.25">
      <c r="B190" s="10" t="s">
        <v>314</v>
      </c>
      <c r="C190" s="10"/>
      <c r="D190" s="10"/>
      <c r="E190" s="13" t="s">
        <v>315</v>
      </c>
      <c r="F190" s="13"/>
      <c r="G190" s="13"/>
      <c r="H190" s="13"/>
      <c r="I190" s="13"/>
      <c r="K190" s="5" t="s">
        <v>49</v>
      </c>
      <c r="M190" s="14">
        <v>1</v>
      </c>
      <c r="N190" s="14"/>
      <c r="O190" s="14"/>
      <c r="Q190" s="15">
        <v>3000</v>
      </c>
      <c r="R190" s="15"/>
      <c r="S190" s="15"/>
      <c r="T190" s="15"/>
      <c r="U190" s="15"/>
      <c r="W190" s="15">
        <v>3000</v>
      </c>
      <c r="X190" s="15"/>
    </row>
    <row r="191" spans="2:24" ht="9.75" customHeight="1" x14ac:dyDescent="0.25">
      <c r="B191" s="10" t="s">
        <v>316</v>
      </c>
      <c r="C191" s="10"/>
      <c r="D191" s="10"/>
      <c r="E191" s="13" t="s">
        <v>317</v>
      </c>
      <c r="F191" s="13"/>
      <c r="G191" s="13"/>
      <c r="H191" s="13"/>
      <c r="I191" s="13"/>
      <c r="K191" s="5" t="s">
        <v>49</v>
      </c>
      <c r="M191" s="14">
        <v>1</v>
      </c>
      <c r="N191" s="14"/>
      <c r="O191" s="14"/>
      <c r="Q191" s="15">
        <v>10017.620000000001</v>
      </c>
      <c r="R191" s="15"/>
      <c r="S191" s="15"/>
      <c r="T191" s="15"/>
      <c r="U191" s="15"/>
      <c r="W191" s="15">
        <v>10017.620000000001</v>
      </c>
      <c r="X191" s="15"/>
    </row>
    <row r="192" spans="2:24" ht="0.75" customHeight="1" x14ac:dyDescent="0.25">
      <c r="E192" s="13"/>
      <c r="F192" s="13"/>
      <c r="G192" s="13"/>
      <c r="H192" s="13"/>
      <c r="I192" s="13"/>
    </row>
    <row r="193" spans="14:24" ht="5.25" customHeight="1" x14ac:dyDescent="0.25"/>
    <row r="194" spans="14:24" ht="13.5" customHeight="1" x14ac:dyDescent="0.25">
      <c r="W194" s="19">
        <v>58291.19</v>
      </c>
      <c r="X194" s="19"/>
    </row>
    <row r="195" spans="14:24" ht="2.25" customHeight="1" x14ac:dyDescent="0.25"/>
    <row r="196" spans="14:24" ht="12" customHeight="1" x14ac:dyDescent="0.25">
      <c r="N196" s="20" t="s">
        <v>318</v>
      </c>
      <c r="O196" s="20"/>
      <c r="P196" s="20"/>
      <c r="Q196" s="20"/>
      <c r="R196" s="20"/>
      <c r="T196" s="21" t="s">
        <v>319</v>
      </c>
      <c r="U196" s="21"/>
      <c r="W196" s="19">
        <v>1769887.85</v>
      </c>
      <c r="X196" s="19"/>
    </row>
    <row r="197" spans="14:24" ht="409.6" customHeight="1" x14ac:dyDescent="0.25"/>
    <row r="198" spans="14:24" ht="9" customHeight="1" x14ac:dyDescent="0.25">
      <c r="O198" s="22" t="s">
        <v>320</v>
      </c>
      <c r="P198" s="22"/>
      <c r="Q198" s="22"/>
      <c r="R198" s="23">
        <v>45512.675173611111</v>
      </c>
      <c r="S198" s="23"/>
      <c r="T198" s="23"/>
      <c r="U198" s="23"/>
      <c r="V198" s="23"/>
      <c r="W198" s="23"/>
      <c r="X198" s="23"/>
    </row>
    <row r="199" spans="14:24" ht="6" customHeight="1" x14ac:dyDescent="0.25">
      <c r="R199" s="23"/>
      <c r="S199" s="23"/>
      <c r="T199" s="23"/>
      <c r="U199" s="23"/>
      <c r="V199" s="23"/>
      <c r="W199" s="23"/>
      <c r="X199" s="23"/>
    </row>
  </sheetData>
  <mergeCells count="712">
    <mergeCell ref="N196:R196"/>
    <mergeCell ref="T196:U196"/>
    <mergeCell ref="W196:X196"/>
    <mergeCell ref="O198:Q198"/>
    <mergeCell ref="R198:X199"/>
    <mergeCell ref="B191:D191"/>
    <mergeCell ref="E191:I192"/>
    <mergeCell ref="M191:O191"/>
    <mergeCell ref="Q191:U191"/>
    <mergeCell ref="W191:X191"/>
    <mergeCell ref="W194:X194"/>
    <mergeCell ref="B189:D189"/>
    <mergeCell ref="E189:I189"/>
    <mergeCell ref="M189:O189"/>
    <mergeCell ref="Q189:U189"/>
    <mergeCell ref="W189:X189"/>
    <mergeCell ref="B190:D190"/>
    <mergeCell ref="E190:I190"/>
    <mergeCell ref="M190:O190"/>
    <mergeCell ref="Q190:U190"/>
    <mergeCell ref="W190:X190"/>
    <mergeCell ref="B187:D187"/>
    <mergeCell ref="E187:I187"/>
    <mergeCell ref="M187:O187"/>
    <mergeCell ref="Q187:U187"/>
    <mergeCell ref="W187:X187"/>
    <mergeCell ref="B188:D188"/>
    <mergeCell ref="E188:I188"/>
    <mergeCell ref="M188:O188"/>
    <mergeCell ref="Q188:U188"/>
    <mergeCell ref="W188:X188"/>
    <mergeCell ref="B183:D183"/>
    <mergeCell ref="E183:I184"/>
    <mergeCell ref="M183:O183"/>
    <mergeCell ref="Q183:U183"/>
    <mergeCell ref="W183:X183"/>
    <mergeCell ref="B185:D185"/>
    <mergeCell ref="E185:I186"/>
    <mergeCell ref="M185:O185"/>
    <mergeCell ref="Q185:U185"/>
    <mergeCell ref="W185:X185"/>
    <mergeCell ref="B180:D180"/>
    <mergeCell ref="E180:I181"/>
    <mergeCell ref="M180:O180"/>
    <mergeCell ref="Q180:U180"/>
    <mergeCell ref="W180:X180"/>
    <mergeCell ref="B182:D182"/>
    <mergeCell ref="E182:I182"/>
    <mergeCell ref="M182:O182"/>
    <mergeCell ref="Q182:U182"/>
    <mergeCell ref="W182:X182"/>
    <mergeCell ref="B178:D178"/>
    <mergeCell ref="E178:I178"/>
    <mergeCell ref="M178:O178"/>
    <mergeCell ref="Q178:U178"/>
    <mergeCell ref="W178:X178"/>
    <mergeCell ref="B179:D179"/>
    <mergeCell ref="E179:I179"/>
    <mergeCell ref="M179:O179"/>
    <mergeCell ref="Q179:U179"/>
    <mergeCell ref="W179:X179"/>
    <mergeCell ref="B174:D174"/>
    <mergeCell ref="E174:I175"/>
    <mergeCell ref="M174:O174"/>
    <mergeCell ref="Q174:U174"/>
    <mergeCell ref="W174:X174"/>
    <mergeCell ref="B176:D176"/>
    <mergeCell ref="E176:I177"/>
    <mergeCell ref="M176:O176"/>
    <mergeCell ref="Q176:U176"/>
    <mergeCell ref="W176:X176"/>
    <mergeCell ref="W170:X170"/>
    <mergeCell ref="B171:X171"/>
    <mergeCell ref="B173:D173"/>
    <mergeCell ref="E173:I173"/>
    <mergeCell ref="M173:O173"/>
    <mergeCell ref="Q173:U173"/>
    <mergeCell ref="W173:X173"/>
    <mergeCell ref="B166:D166"/>
    <mergeCell ref="E166:I166"/>
    <mergeCell ref="M166:O166"/>
    <mergeCell ref="Q166:U166"/>
    <mergeCell ref="W166:X166"/>
    <mergeCell ref="B167:D167"/>
    <mergeCell ref="E167:I168"/>
    <mergeCell ref="M167:O167"/>
    <mergeCell ref="Q167:U167"/>
    <mergeCell ref="W167:X167"/>
    <mergeCell ref="B164:D164"/>
    <mergeCell ref="E164:I164"/>
    <mergeCell ref="M164:O164"/>
    <mergeCell ref="Q164:U164"/>
    <mergeCell ref="W164:X164"/>
    <mergeCell ref="B165:D165"/>
    <mergeCell ref="E165:I165"/>
    <mergeCell ref="M165:O165"/>
    <mergeCell ref="Q165:U165"/>
    <mergeCell ref="W165:X165"/>
    <mergeCell ref="B162:D162"/>
    <mergeCell ref="E162:I162"/>
    <mergeCell ref="M162:O162"/>
    <mergeCell ref="Q162:U162"/>
    <mergeCell ref="W162:X162"/>
    <mergeCell ref="B163:D163"/>
    <mergeCell ref="E163:I163"/>
    <mergeCell ref="M163:O163"/>
    <mergeCell ref="Q163:U163"/>
    <mergeCell ref="W163:X163"/>
    <mergeCell ref="B160:D160"/>
    <mergeCell ref="E160:I160"/>
    <mergeCell ref="M160:O160"/>
    <mergeCell ref="Q160:U160"/>
    <mergeCell ref="W160:X160"/>
    <mergeCell ref="B161:D161"/>
    <mergeCell ref="E161:I161"/>
    <mergeCell ref="M161:O161"/>
    <mergeCell ref="Q161:U161"/>
    <mergeCell ref="W161:X161"/>
    <mergeCell ref="B158:D158"/>
    <mergeCell ref="E158:I158"/>
    <mergeCell ref="M158:O158"/>
    <mergeCell ref="Q158:U158"/>
    <mergeCell ref="W158:X158"/>
    <mergeCell ref="B159:D159"/>
    <mergeCell ref="E159:I159"/>
    <mergeCell ref="M159:O159"/>
    <mergeCell ref="Q159:U159"/>
    <mergeCell ref="W159:X159"/>
    <mergeCell ref="B156:D156"/>
    <mergeCell ref="E156:I156"/>
    <mergeCell ref="M156:O156"/>
    <mergeCell ref="Q156:U156"/>
    <mergeCell ref="W156:X156"/>
    <mergeCell ref="B157:D157"/>
    <mergeCell ref="E157:I157"/>
    <mergeCell ref="M157:O157"/>
    <mergeCell ref="Q157:U157"/>
    <mergeCell ref="W157:X157"/>
    <mergeCell ref="B154:D154"/>
    <mergeCell ref="E154:I154"/>
    <mergeCell ref="M154:O154"/>
    <mergeCell ref="Q154:U154"/>
    <mergeCell ref="W154:X154"/>
    <mergeCell ref="B155:D155"/>
    <mergeCell ref="E155:I155"/>
    <mergeCell ref="M155:O155"/>
    <mergeCell ref="Q155:U155"/>
    <mergeCell ref="W155:X155"/>
    <mergeCell ref="B152:D152"/>
    <mergeCell ref="E152:I152"/>
    <mergeCell ref="M152:O152"/>
    <mergeCell ref="Q152:U152"/>
    <mergeCell ref="W152:X152"/>
    <mergeCell ref="B153:D153"/>
    <mergeCell ref="E153:I153"/>
    <mergeCell ref="M153:O153"/>
    <mergeCell ref="Q153:U153"/>
    <mergeCell ref="W153:X153"/>
    <mergeCell ref="B150:D150"/>
    <mergeCell ref="E150:I150"/>
    <mergeCell ref="M150:O150"/>
    <mergeCell ref="Q150:U150"/>
    <mergeCell ref="W150:X150"/>
    <mergeCell ref="B151:D151"/>
    <mergeCell ref="E151:I151"/>
    <mergeCell ref="M151:O151"/>
    <mergeCell ref="Q151:U151"/>
    <mergeCell ref="W151:X151"/>
    <mergeCell ref="B148:D148"/>
    <mergeCell ref="E148:I148"/>
    <mergeCell ref="M148:O148"/>
    <mergeCell ref="Q148:U148"/>
    <mergeCell ref="W148:X148"/>
    <mergeCell ref="B149:D149"/>
    <mergeCell ref="E149:I149"/>
    <mergeCell ref="M149:O149"/>
    <mergeCell ref="Q149:U149"/>
    <mergeCell ref="W149:X149"/>
    <mergeCell ref="B146:D146"/>
    <mergeCell ref="E146:I146"/>
    <mergeCell ref="M146:O146"/>
    <mergeCell ref="Q146:U146"/>
    <mergeCell ref="W146:X146"/>
    <mergeCell ref="B147:D147"/>
    <mergeCell ref="E147:I147"/>
    <mergeCell ref="M147:O147"/>
    <mergeCell ref="Q147:U147"/>
    <mergeCell ref="W147:X147"/>
    <mergeCell ref="B143:D143"/>
    <mergeCell ref="E143:I144"/>
    <mergeCell ref="M143:O143"/>
    <mergeCell ref="Q143:U143"/>
    <mergeCell ref="W143:X143"/>
    <mergeCell ref="B145:D145"/>
    <mergeCell ref="E145:I145"/>
    <mergeCell ref="M145:O145"/>
    <mergeCell ref="Q145:U145"/>
    <mergeCell ref="W145:X145"/>
    <mergeCell ref="B140:D140"/>
    <mergeCell ref="E140:I140"/>
    <mergeCell ref="M140:O140"/>
    <mergeCell ref="Q140:U140"/>
    <mergeCell ref="W140:X140"/>
    <mergeCell ref="B141:D141"/>
    <mergeCell ref="E141:I142"/>
    <mergeCell ref="M141:O141"/>
    <mergeCell ref="Q141:U141"/>
    <mergeCell ref="W141:X141"/>
    <mergeCell ref="B136:D136"/>
    <mergeCell ref="E136:I136"/>
    <mergeCell ref="W136:X136"/>
    <mergeCell ref="B138:D138"/>
    <mergeCell ref="E138:I139"/>
    <mergeCell ref="M138:O138"/>
    <mergeCell ref="Q138:U138"/>
    <mergeCell ref="W138:X138"/>
    <mergeCell ref="B132:D132"/>
    <mergeCell ref="E132:I133"/>
    <mergeCell ref="M132:O132"/>
    <mergeCell ref="Q132:U132"/>
    <mergeCell ref="W132:X132"/>
    <mergeCell ref="B134:D134"/>
    <mergeCell ref="E134:I134"/>
    <mergeCell ref="W134:X134"/>
    <mergeCell ref="B129:X129"/>
    <mergeCell ref="B131:D131"/>
    <mergeCell ref="E131:I131"/>
    <mergeCell ref="M131:O131"/>
    <mergeCell ref="Q131:U131"/>
    <mergeCell ref="W131:X131"/>
    <mergeCell ref="B124:D124"/>
    <mergeCell ref="E124:I126"/>
    <mergeCell ref="M124:O124"/>
    <mergeCell ref="Q124:U124"/>
    <mergeCell ref="W124:X124"/>
    <mergeCell ref="W128:X128"/>
    <mergeCell ref="B122:D122"/>
    <mergeCell ref="E122:I122"/>
    <mergeCell ref="M122:O122"/>
    <mergeCell ref="Q122:U122"/>
    <mergeCell ref="W122:X122"/>
    <mergeCell ref="B123:D123"/>
    <mergeCell ref="E123:I123"/>
    <mergeCell ref="M123:O123"/>
    <mergeCell ref="Q123:U123"/>
    <mergeCell ref="W123:X123"/>
    <mergeCell ref="B120:D120"/>
    <mergeCell ref="E120:I120"/>
    <mergeCell ref="M120:O120"/>
    <mergeCell ref="Q120:U120"/>
    <mergeCell ref="W120:X120"/>
    <mergeCell ref="B121:D121"/>
    <mergeCell ref="E121:I121"/>
    <mergeCell ref="M121:O121"/>
    <mergeCell ref="Q121:U121"/>
    <mergeCell ref="W121:X121"/>
    <mergeCell ref="B118:D118"/>
    <mergeCell ref="E118:I118"/>
    <mergeCell ref="M118:O118"/>
    <mergeCell ref="Q118:U118"/>
    <mergeCell ref="W118:X118"/>
    <mergeCell ref="B119:D119"/>
    <mergeCell ref="E119:I119"/>
    <mergeCell ref="M119:O119"/>
    <mergeCell ref="Q119:U119"/>
    <mergeCell ref="W119:X119"/>
    <mergeCell ref="B116:D116"/>
    <mergeCell ref="E116:I116"/>
    <mergeCell ref="M116:O116"/>
    <mergeCell ref="Q116:U116"/>
    <mergeCell ref="W116:X116"/>
    <mergeCell ref="B117:D117"/>
    <mergeCell ref="E117:I117"/>
    <mergeCell ref="M117:O117"/>
    <mergeCell ref="Q117:U117"/>
    <mergeCell ref="W117:X117"/>
    <mergeCell ref="B114:D114"/>
    <mergeCell ref="E114:I114"/>
    <mergeCell ref="M114:O114"/>
    <mergeCell ref="Q114:U114"/>
    <mergeCell ref="W114:X114"/>
    <mergeCell ref="B115:D115"/>
    <mergeCell ref="E115:I115"/>
    <mergeCell ref="M115:O115"/>
    <mergeCell ref="Q115:U115"/>
    <mergeCell ref="W115:X115"/>
    <mergeCell ref="B111:D111"/>
    <mergeCell ref="E111:I111"/>
    <mergeCell ref="M111:O111"/>
    <mergeCell ref="Q111:U111"/>
    <mergeCell ref="W111:X111"/>
    <mergeCell ref="B112:D112"/>
    <mergeCell ref="E112:I113"/>
    <mergeCell ref="M112:O112"/>
    <mergeCell ref="Q112:U112"/>
    <mergeCell ref="W112:X112"/>
    <mergeCell ref="B109:D109"/>
    <mergeCell ref="E109:I109"/>
    <mergeCell ref="M109:O109"/>
    <mergeCell ref="Q109:U109"/>
    <mergeCell ref="W109:X109"/>
    <mergeCell ref="B110:D110"/>
    <mergeCell ref="E110:I110"/>
    <mergeCell ref="M110:O110"/>
    <mergeCell ref="Q110:U110"/>
    <mergeCell ref="W110:X110"/>
    <mergeCell ref="B107:D107"/>
    <mergeCell ref="E107:I107"/>
    <mergeCell ref="M107:O107"/>
    <mergeCell ref="Q107:U107"/>
    <mergeCell ref="W107:X107"/>
    <mergeCell ref="B108:D108"/>
    <mergeCell ref="E108:I108"/>
    <mergeCell ref="M108:O108"/>
    <mergeCell ref="Q108:U108"/>
    <mergeCell ref="W108:X108"/>
    <mergeCell ref="B104:D104"/>
    <mergeCell ref="E104:I105"/>
    <mergeCell ref="M104:O104"/>
    <mergeCell ref="Q104:U104"/>
    <mergeCell ref="W104:X104"/>
    <mergeCell ref="B106:D106"/>
    <mergeCell ref="E106:I106"/>
    <mergeCell ref="M106:O106"/>
    <mergeCell ref="Q106:U106"/>
    <mergeCell ref="W106:X106"/>
    <mergeCell ref="B101:D101"/>
    <mergeCell ref="E101:I101"/>
    <mergeCell ref="M101:O101"/>
    <mergeCell ref="Q101:U101"/>
    <mergeCell ref="W101:X101"/>
    <mergeCell ref="B102:D102"/>
    <mergeCell ref="E102:I103"/>
    <mergeCell ref="M102:O102"/>
    <mergeCell ref="Q102:U102"/>
    <mergeCell ref="W102:X102"/>
    <mergeCell ref="B99:D99"/>
    <mergeCell ref="E99:I99"/>
    <mergeCell ref="M99:O99"/>
    <mergeCell ref="Q99:U99"/>
    <mergeCell ref="W99:X99"/>
    <mergeCell ref="B100:D100"/>
    <mergeCell ref="E100:I100"/>
    <mergeCell ref="M100:O100"/>
    <mergeCell ref="Q100:U100"/>
    <mergeCell ref="W100:X100"/>
    <mergeCell ref="B97:D97"/>
    <mergeCell ref="E97:I97"/>
    <mergeCell ref="M97:O97"/>
    <mergeCell ref="Q97:U97"/>
    <mergeCell ref="W97:X97"/>
    <mergeCell ref="B98:D98"/>
    <mergeCell ref="E98:I98"/>
    <mergeCell ref="M98:O98"/>
    <mergeCell ref="Q98:U98"/>
    <mergeCell ref="W98:X98"/>
    <mergeCell ref="B95:D95"/>
    <mergeCell ref="E95:I95"/>
    <mergeCell ref="M95:O95"/>
    <mergeCell ref="Q95:U95"/>
    <mergeCell ref="W95:X95"/>
    <mergeCell ref="B96:D96"/>
    <mergeCell ref="E96:I96"/>
    <mergeCell ref="M96:O96"/>
    <mergeCell ref="Q96:U96"/>
    <mergeCell ref="W96:X96"/>
    <mergeCell ref="B93:D93"/>
    <mergeCell ref="E93:I93"/>
    <mergeCell ref="M93:O93"/>
    <mergeCell ref="Q93:U93"/>
    <mergeCell ref="W93:X93"/>
    <mergeCell ref="B94:D94"/>
    <mergeCell ref="E94:I94"/>
    <mergeCell ref="M94:O94"/>
    <mergeCell ref="Q94:U94"/>
    <mergeCell ref="W94:X94"/>
    <mergeCell ref="B91:D91"/>
    <mergeCell ref="E91:I91"/>
    <mergeCell ref="M91:O91"/>
    <mergeCell ref="Q91:U91"/>
    <mergeCell ref="W91:X91"/>
    <mergeCell ref="B92:D92"/>
    <mergeCell ref="E92:I92"/>
    <mergeCell ref="M92:O92"/>
    <mergeCell ref="Q92:U92"/>
    <mergeCell ref="W92:X92"/>
    <mergeCell ref="B89:D89"/>
    <mergeCell ref="E89:I89"/>
    <mergeCell ref="M89:O89"/>
    <mergeCell ref="Q89:U89"/>
    <mergeCell ref="W89:X89"/>
    <mergeCell ref="B90:D90"/>
    <mergeCell ref="E90:I90"/>
    <mergeCell ref="M90:O90"/>
    <mergeCell ref="Q90:U90"/>
    <mergeCell ref="W90:X90"/>
    <mergeCell ref="B86:D86"/>
    <mergeCell ref="E86:I87"/>
    <mergeCell ref="M86:O86"/>
    <mergeCell ref="Q86:U86"/>
    <mergeCell ref="W86:X86"/>
    <mergeCell ref="B88:D88"/>
    <mergeCell ref="E88:I88"/>
    <mergeCell ref="M88:O88"/>
    <mergeCell ref="Q88:U88"/>
    <mergeCell ref="W88:X88"/>
    <mergeCell ref="B84:D84"/>
    <mergeCell ref="E84:I84"/>
    <mergeCell ref="M84:O84"/>
    <mergeCell ref="Q84:U84"/>
    <mergeCell ref="W84:X84"/>
    <mergeCell ref="B85:D85"/>
    <mergeCell ref="E85:I85"/>
    <mergeCell ref="M85:O85"/>
    <mergeCell ref="Q85:U85"/>
    <mergeCell ref="W85:X85"/>
    <mergeCell ref="B82:D82"/>
    <mergeCell ref="E82:I82"/>
    <mergeCell ref="M82:O82"/>
    <mergeCell ref="Q82:U82"/>
    <mergeCell ref="W82:X82"/>
    <mergeCell ref="B83:D83"/>
    <mergeCell ref="E83:I83"/>
    <mergeCell ref="M83:O83"/>
    <mergeCell ref="Q83:U83"/>
    <mergeCell ref="W83:X83"/>
    <mergeCell ref="B80:D80"/>
    <mergeCell ref="E80:I80"/>
    <mergeCell ref="M80:O80"/>
    <mergeCell ref="Q80:U80"/>
    <mergeCell ref="W80:X80"/>
    <mergeCell ref="B81:D81"/>
    <mergeCell ref="E81:I81"/>
    <mergeCell ref="M81:O81"/>
    <mergeCell ref="Q81:U81"/>
    <mergeCell ref="W81:X81"/>
    <mergeCell ref="B78:D78"/>
    <mergeCell ref="E78:I78"/>
    <mergeCell ref="M78:O78"/>
    <mergeCell ref="Q78:U78"/>
    <mergeCell ref="W78:X78"/>
    <mergeCell ref="B79:D79"/>
    <mergeCell ref="E79:I79"/>
    <mergeCell ref="M79:O79"/>
    <mergeCell ref="Q79:U79"/>
    <mergeCell ref="W79:X79"/>
    <mergeCell ref="B76:D76"/>
    <mergeCell ref="E76:I76"/>
    <mergeCell ref="M76:O76"/>
    <mergeCell ref="Q76:U76"/>
    <mergeCell ref="W76:X76"/>
    <mergeCell ref="B77:D77"/>
    <mergeCell ref="E77:I77"/>
    <mergeCell ref="M77:O77"/>
    <mergeCell ref="Q77:U77"/>
    <mergeCell ref="W77:X77"/>
    <mergeCell ref="B74:D74"/>
    <mergeCell ref="E74:I74"/>
    <mergeCell ref="M74:O74"/>
    <mergeCell ref="Q74:U74"/>
    <mergeCell ref="W74:X74"/>
    <mergeCell ref="B75:D75"/>
    <mergeCell ref="E75:I75"/>
    <mergeCell ref="M75:O75"/>
    <mergeCell ref="Q75:U75"/>
    <mergeCell ref="W75:X75"/>
    <mergeCell ref="B72:D72"/>
    <mergeCell ref="E72:I72"/>
    <mergeCell ref="M72:O72"/>
    <mergeCell ref="Q72:U72"/>
    <mergeCell ref="W72:X72"/>
    <mergeCell ref="B73:D73"/>
    <mergeCell ref="E73:I73"/>
    <mergeCell ref="M73:O73"/>
    <mergeCell ref="Q73:U73"/>
    <mergeCell ref="W73:X73"/>
    <mergeCell ref="B70:D70"/>
    <mergeCell ref="E70:I70"/>
    <mergeCell ref="M70:O70"/>
    <mergeCell ref="Q70:U70"/>
    <mergeCell ref="W70:X70"/>
    <mergeCell ref="B71:D71"/>
    <mergeCell ref="E71:I71"/>
    <mergeCell ref="M71:O71"/>
    <mergeCell ref="Q71:U71"/>
    <mergeCell ref="W71:X71"/>
    <mergeCell ref="B68:D68"/>
    <mergeCell ref="E68:I68"/>
    <mergeCell ref="M68:O68"/>
    <mergeCell ref="Q68:U68"/>
    <mergeCell ref="W68:X68"/>
    <mergeCell ref="B69:D69"/>
    <mergeCell ref="E69:I69"/>
    <mergeCell ref="M69:O69"/>
    <mergeCell ref="Q69:U69"/>
    <mergeCell ref="W69:X69"/>
    <mergeCell ref="B66:D66"/>
    <mergeCell ref="E66:I66"/>
    <mergeCell ref="M66:O66"/>
    <mergeCell ref="Q66:U66"/>
    <mergeCell ref="W66:X66"/>
    <mergeCell ref="B67:D67"/>
    <mergeCell ref="E67:I67"/>
    <mergeCell ref="M67:O67"/>
    <mergeCell ref="Q67:U67"/>
    <mergeCell ref="W67:X67"/>
    <mergeCell ref="B63:D63"/>
    <mergeCell ref="E63:I63"/>
    <mergeCell ref="M63:O63"/>
    <mergeCell ref="Q63:U63"/>
    <mergeCell ref="W63:X63"/>
    <mergeCell ref="B64:D64"/>
    <mergeCell ref="E64:I65"/>
    <mergeCell ref="M64:O64"/>
    <mergeCell ref="Q64:U64"/>
    <mergeCell ref="W64:X64"/>
    <mergeCell ref="B61:D61"/>
    <mergeCell ref="E61:I61"/>
    <mergeCell ref="M61:O61"/>
    <mergeCell ref="Q61:U61"/>
    <mergeCell ref="W61:X61"/>
    <mergeCell ref="B62:D62"/>
    <mergeCell ref="E62:I62"/>
    <mergeCell ref="M62:O62"/>
    <mergeCell ref="Q62:U62"/>
    <mergeCell ref="W62:X62"/>
    <mergeCell ref="B58:D58"/>
    <mergeCell ref="E58:I59"/>
    <mergeCell ref="M58:O58"/>
    <mergeCell ref="Q58:U58"/>
    <mergeCell ref="W58:X58"/>
    <mergeCell ref="B60:D60"/>
    <mergeCell ref="E60:I60"/>
    <mergeCell ref="M60:O60"/>
    <mergeCell ref="Q60:U60"/>
    <mergeCell ref="W60:X60"/>
    <mergeCell ref="B56:D56"/>
    <mergeCell ref="E56:I56"/>
    <mergeCell ref="M56:O56"/>
    <mergeCell ref="Q56:U56"/>
    <mergeCell ref="W56:X56"/>
    <mergeCell ref="B57:D57"/>
    <mergeCell ref="E57:I57"/>
    <mergeCell ref="M57:O57"/>
    <mergeCell ref="Q57:U57"/>
    <mergeCell ref="W57:X57"/>
    <mergeCell ref="B53:D53"/>
    <mergeCell ref="E53:I54"/>
    <mergeCell ref="M53:O53"/>
    <mergeCell ref="Q53:U53"/>
    <mergeCell ref="W53:X53"/>
    <mergeCell ref="B55:D55"/>
    <mergeCell ref="E55:I55"/>
    <mergeCell ref="M55:O55"/>
    <mergeCell ref="Q55:U55"/>
    <mergeCell ref="W55:X55"/>
    <mergeCell ref="B50:D50"/>
    <mergeCell ref="E50:I50"/>
    <mergeCell ref="M50:O50"/>
    <mergeCell ref="Q50:U50"/>
    <mergeCell ref="W50:X50"/>
    <mergeCell ref="B51:D51"/>
    <mergeCell ref="E51:I52"/>
    <mergeCell ref="M51:O51"/>
    <mergeCell ref="Q51:U51"/>
    <mergeCell ref="W51:X51"/>
    <mergeCell ref="B48:D48"/>
    <mergeCell ref="E48:I48"/>
    <mergeCell ref="M48:O48"/>
    <mergeCell ref="Q48:U48"/>
    <mergeCell ref="W48:X48"/>
    <mergeCell ref="B49:D49"/>
    <mergeCell ref="E49:I49"/>
    <mergeCell ref="M49:O49"/>
    <mergeCell ref="Q49:U49"/>
    <mergeCell ref="W49:X49"/>
    <mergeCell ref="B45:D45"/>
    <mergeCell ref="E45:I45"/>
    <mergeCell ref="M45:O45"/>
    <mergeCell ref="Q45:U45"/>
    <mergeCell ref="W45:X45"/>
    <mergeCell ref="B46:D46"/>
    <mergeCell ref="E46:I47"/>
    <mergeCell ref="M46:O46"/>
    <mergeCell ref="Q46:U46"/>
    <mergeCell ref="W46:X46"/>
    <mergeCell ref="B43:D43"/>
    <mergeCell ref="E43:I43"/>
    <mergeCell ref="M43:O43"/>
    <mergeCell ref="Q43:U43"/>
    <mergeCell ref="W43:X43"/>
    <mergeCell ref="B44:D44"/>
    <mergeCell ref="E44:I44"/>
    <mergeCell ref="M44:O44"/>
    <mergeCell ref="Q44:U44"/>
    <mergeCell ref="W44:X44"/>
    <mergeCell ref="B41:D41"/>
    <mergeCell ref="E41:I41"/>
    <mergeCell ref="M41:O41"/>
    <mergeCell ref="Q41:U41"/>
    <mergeCell ref="W41:X41"/>
    <mergeCell ref="B42:D42"/>
    <mergeCell ref="E42:I42"/>
    <mergeCell ref="M42:O42"/>
    <mergeCell ref="Q42:U42"/>
    <mergeCell ref="W42:X42"/>
    <mergeCell ref="B39:D39"/>
    <mergeCell ref="E39:I39"/>
    <mergeCell ref="M39:O39"/>
    <mergeCell ref="Q39:U39"/>
    <mergeCell ref="W39:X39"/>
    <mergeCell ref="B40:D40"/>
    <mergeCell ref="E40:I40"/>
    <mergeCell ref="M40:O40"/>
    <mergeCell ref="Q40:U40"/>
    <mergeCell ref="W40:X40"/>
    <mergeCell ref="B37:D37"/>
    <mergeCell ref="E37:I37"/>
    <mergeCell ref="M37:O37"/>
    <mergeCell ref="Q37:U37"/>
    <mergeCell ref="W37:X37"/>
    <mergeCell ref="B38:D38"/>
    <mergeCell ref="E38:I38"/>
    <mergeCell ref="M38:O38"/>
    <mergeCell ref="Q38:U38"/>
    <mergeCell ref="W38:X38"/>
    <mergeCell ref="B35:D35"/>
    <mergeCell ref="E35:I35"/>
    <mergeCell ref="M35:O35"/>
    <mergeCell ref="Q35:U35"/>
    <mergeCell ref="W35:X35"/>
    <mergeCell ref="B36:D36"/>
    <mergeCell ref="E36:I36"/>
    <mergeCell ref="M36:O36"/>
    <mergeCell ref="Q36:U36"/>
    <mergeCell ref="W36:X36"/>
    <mergeCell ref="B33:D33"/>
    <mergeCell ref="E33:I33"/>
    <mergeCell ref="M33:O33"/>
    <mergeCell ref="Q33:U33"/>
    <mergeCell ref="W33:X33"/>
    <mergeCell ref="B34:D34"/>
    <mergeCell ref="E34:I34"/>
    <mergeCell ref="M34:O34"/>
    <mergeCell ref="Q34:U34"/>
    <mergeCell ref="W34:X34"/>
    <mergeCell ref="B31:D31"/>
    <mergeCell ref="E31:I31"/>
    <mergeCell ref="M31:O31"/>
    <mergeCell ref="Q31:U31"/>
    <mergeCell ref="W31:X31"/>
    <mergeCell ref="B32:D32"/>
    <mergeCell ref="E32:I32"/>
    <mergeCell ref="M32:O32"/>
    <mergeCell ref="Q32:U32"/>
    <mergeCell ref="W32:X32"/>
    <mergeCell ref="B29:D29"/>
    <mergeCell ref="E29:I29"/>
    <mergeCell ref="M29:O29"/>
    <mergeCell ref="Q29:U29"/>
    <mergeCell ref="W29:X29"/>
    <mergeCell ref="B30:D30"/>
    <mergeCell ref="E30:I30"/>
    <mergeCell ref="M30:O30"/>
    <mergeCell ref="Q30:U30"/>
    <mergeCell ref="W30:X30"/>
    <mergeCell ref="B27:D27"/>
    <mergeCell ref="E27:I27"/>
    <mergeCell ref="M27:O27"/>
    <mergeCell ref="Q27:U27"/>
    <mergeCell ref="W27:X27"/>
    <mergeCell ref="B28:D28"/>
    <mergeCell ref="E28:I28"/>
    <mergeCell ref="M28:O28"/>
    <mergeCell ref="Q28:U28"/>
    <mergeCell ref="W28:X28"/>
    <mergeCell ref="W23:X23"/>
    <mergeCell ref="B24:X24"/>
    <mergeCell ref="B26:D26"/>
    <mergeCell ref="E26:I26"/>
    <mergeCell ref="M26:O26"/>
    <mergeCell ref="Q26:U26"/>
    <mergeCell ref="W26:X26"/>
    <mergeCell ref="B19:D19"/>
    <mergeCell ref="E19:I19"/>
    <mergeCell ref="M19:O19"/>
    <mergeCell ref="Q19:U19"/>
    <mergeCell ref="W19:X19"/>
    <mergeCell ref="B20:D20"/>
    <mergeCell ref="E20:I21"/>
    <mergeCell ref="M20:O20"/>
    <mergeCell ref="Q20:U20"/>
    <mergeCell ref="W20:X20"/>
    <mergeCell ref="B4:X4"/>
    <mergeCell ref="B6:E6"/>
    <mergeCell ref="I6:T10"/>
    <mergeCell ref="B11:E11"/>
    <mergeCell ref="I11:X11"/>
    <mergeCell ref="B12:E12"/>
    <mergeCell ref="B16:X16"/>
    <mergeCell ref="B18:D18"/>
    <mergeCell ref="E18:I18"/>
    <mergeCell ref="M18:O18"/>
    <mergeCell ref="Q18:U18"/>
    <mergeCell ref="W18:X18"/>
    <mergeCell ref="B13:E13"/>
    <mergeCell ref="I13:X13"/>
    <mergeCell ref="B14:C14"/>
    <mergeCell ref="E14:I14"/>
    <mergeCell ref="L14:O14"/>
    <mergeCell ref="Q14:U14"/>
    <mergeCell ref="W14:X14"/>
  </mergeCells>
  <pageMargins left="0" right="0" top="0" bottom="0" header="0" footer="0"/>
  <pageSetup paperSize="0" scale="0" fitToWidth="0" fitToHeight="0" orientation="portrait" usePrinterDefaults="0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3C5EE-59DD-43F3-B3E2-5953E4C55E12}">
  <dimension ref="A1:B19"/>
  <sheetViews>
    <sheetView tabSelected="1" zoomScale="120" workbookViewId="0">
      <selection activeCell="J4" sqref="J4"/>
    </sheetView>
  </sheetViews>
  <sheetFormatPr defaultRowHeight="13.2" x14ac:dyDescent="0.25"/>
  <cols>
    <col min="1" max="1" width="7.6640625" customWidth="1"/>
  </cols>
  <sheetData>
    <row r="1" spans="1:2" x14ac:dyDescent="0.25">
      <c r="A1" s="5" t="s">
        <v>230</v>
      </c>
      <c r="B1" t="str">
        <f>"'"&amp;A1&amp;"',"</f>
        <v>'%mo',</v>
      </c>
    </row>
    <row r="2" spans="1:2" x14ac:dyDescent="0.25">
      <c r="A2" s="5" t="s">
        <v>82</v>
      </c>
      <c r="B2" t="str">
        <f t="shared" ref="B2:B19" si="0">"'"&amp;A2&amp;"',"</f>
        <v>'bol',</v>
      </c>
    </row>
    <row r="3" spans="1:2" x14ac:dyDescent="0.25">
      <c r="A3" s="5" t="s">
        <v>39</v>
      </c>
      <c r="B3" t="str">
        <f t="shared" si="0"/>
        <v>'gal',</v>
      </c>
    </row>
    <row r="4" spans="1:2" x14ac:dyDescent="0.25">
      <c r="A4" s="5" t="s">
        <v>49</v>
      </c>
      <c r="B4" t="str">
        <f t="shared" si="0"/>
        <v>'glb',</v>
      </c>
    </row>
    <row r="5" spans="1:2" x14ac:dyDescent="0.25">
      <c r="A5" s="5" t="s">
        <v>224</v>
      </c>
      <c r="B5" t="str">
        <f t="shared" si="0"/>
        <v>'he',</v>
      </c>
    </row>
    <row r="6" spans="1:2" x14ac:dyDescent="0.25">
      <c r="A6" s="5" t="s">
        <v>22</v>
      </c>
      <c r="B6" t="str">
        <f t="shared" si="0"/>
        <v>'hh',</v>
      </c>
    </row>
    <row r="7" spans="1:2" x14ac:dyDescent="0.25">
      <c r="A7" s="5" t="s">
        <v>227</v>
      </c>
      <c r="B7" t="str">
        <f t="shared" si="0"/>
        <v>'hm',</v>
      </c>
    </row>
    <row r="8" spans="1:2" x14ac:dyDescent="0.25">
      <c r="A8" s="5" t="s">
        <v>52</v>
      </c>
      <c r="B8" t="str">
        <f t="shared" si="0"/>
        <v>'kg',</v>
      </c>
    </row>
    <row r="9" spans="1:2" x14ac:dyDescent="0.25">
      <c r="A9" s="5" t="s">
        <v>106</v>
      </c>
      <c r="B9" t="str">
        <f t="shared" si="0"/>
        <v>'m',</v>
      </c>
    </row>
    <row r="10" spans="1:2" x14ac:dyDescent="0.25">
      <c r="A10" s="5" t="s">
        <v>36</v>
      </c>
      <c r="B10" t="str">
        <f t="shared" si="0"/>
        <v>'m2',</v>
      </c>
    </row>
    <row r="11" spans="1:2" x14ac:dyDescent="0.25">
      <c r="A11" s="5" t="s">
        <v>46</v>
      </c>
      <c r="B11" t="str">
        <f t="shared" si="0"/>
        <v>'m3',</v>
      </c>
    </row>
    <row r="12" spans="1:2" x14ac:dyDescent="0.25">
      <c r="A12" s="5" t="s">
        <v>298</v>
      </c>
      <c r="B12" t="str">
        <f t="shared" si="0"/>
        <v>'mes',</v>
      </c>
    </row>
    <row r="13" spans="1:2" x14ac:dyDescent="0.25">
      <c r="A13" s="5" t="s">
        <v>103</v>
      </c>
      <c r="B13" t="str">
        <f t="shared" si="0"/>
        <v>'p2',</v>
      </c>
    </row>
    <row r="14" spans="1:2" x14ac:dyDescent="0.25">
      <c r="A14" s="5" t="s">
        <v>164</v>
      </c>
      <c r="B14" t="str">
        <f t="shared" si="0"/>
        <v>'par',</v>
      </c>
    </row>
    <row r="15" spans="1:2" x14ac:dyDescent="0.25">
      <c r="A15" s="5" t="s">
        <v>111</v>
      </c>
      <c r="B15" t="str">
        <f t="shared" si="0"/>
        <v>'plg',</v>
      </c>
    </row>
    <row r="16" spans="1:2" x14ac:dyDescent="0.25">
      <c r="A16" s="5" t="s">
        <v>33</v>
      </c>
      <c r="B16" t="str">
        <f t="shared" si="0"/>
        <v>'pln',</v>
      </c>
    </row>
    <row r="17" spans="1:2" x14ac:dyDescent="0.25">
      <c r="A17" s="5" t="s">
        <v>311</v>
      </c>
      <c r="B17" t="str">
        <f t="shared" si="0"/>
        <v>'pto',</v>
      </c>
    </row>
    <row r="18" spans="1:2" x14ac:dyDescent="0.25">
      <c r="A18" s="5" t="s">
        <v>77</v>
      </c>
      <c r="B18" t="str">
        <f t="shared" si="0"/>
        <v>'rll',</v>
      </c>
    </row>
    <row r="19" spans="1:2" x14ac:dyDescent="0.25">
      <c r="A19" s="5" t="s">
        <v>30</v>
      </c>
      <c r="B19" t="str">
        <f t="shared" si="0"/>
        <v>'und',</v>
      </c>
    </row>
  </sheetData>
  <sortState xmlns:xlrd2="http://schemas.microsoft.com/office/spreadsheetml/2017/richdata2" ref="A1:A19">
    <sortCondition ref="A1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Diego Ugaz</cp:lastModifiedBy>
  <dcterms:created xsi:type="dcterms:W3CDTF">2024-08-09T21:44:35Z</dcterms:created>
  <dcterms:modified xsi:type="dcterms:W3CDTF">2024-08-11T00:58:26Z</dcterms:modified>
</cp:coreProperties>
</file>